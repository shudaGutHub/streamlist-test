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aleem\streamit_x8\portfolio\"/>
    </mc:Choice>
  </mc:AlternateContent>
  <xr:revisionPtr revIDLastSave="0" documentId="13_ncr:1_{1EFDC30A-7C6C-414A-BAD4-EDB79B002830}" xr6:coauthVersionLast="47" xr6:coauthVersionMax="47" xr10:uidLastSave="{00000000-0000-0000-0000-000000000000}"/>
  <bookViews>
    <workbookView xWindow="14880" yWindow="4170" windowWidth="28800" windowHeight="15435" tabRatio="500" firstSheet="1" activeTab="7" xr2:uid="{00000000-000D-0000-FFFF-FFFF00000000}"/>
  </bookViews>
  <sheets>
    <sheet name="Portfolio" sheetId="1" r:id="rId1"/>
    <sheet name="BDFundPortfolio" sheetId="5" r:id="rId2"/>
    <sheet name="DashSummary" sheetId="7" r:id="rId3"/>
    <sheet name="Sheet1" sheetId="14" r:id="rId4"/>
    <sheet name="SampleTradeList" sheetId="8" r:id="rId5"/>
    <sheet name="VaR" sheetId="13" r:id="rId6"/>
    <sheet name="_xlwings.conf" sheetId="2" r:id="rId7"/>
    <sheet name="Sheet2" sheetId="15" r:id="rId8"/>
    <sheet name="COVEREDCALLS" sheetId="9" r:id="rId9"/>
    <sheet name="PUTS" sheetId="10" r:id="rId10"/>
    <sheet name="HEDGE" sheetId="11" r:id="rId11"/>
    <sheet name="CHINA" sheetId="12" r:id="rId12"/>
  </sheets>
  <functionGroups builtInGroupCount="19"/>
  <definedNames>
    <definedName name="_xlchart.v1.0" hidden="1">COVEREDCALLS!$M$3:$M$1002</definedName>
    <definedName name="BDFundsName">BDFundPortfolio!$E:$E</definedName>
    <definedName name="BDFundTickers">BDFundPortfolio!$D:$D</definedName>
    <definedName name="CallPrice">VaR!$B$9</definedName>
    <definedName name="D">VaR!$C$10</definedName>
    <definedName name="done">VaR!$B$20</definedName>
    <definedName name="dt">VaR!$B$19</definedName>
    <definedName name="dtwo">VaR!$B$21</definedName>
    <definedName name="ExternalData_1" localSheetId="1" hidden="1">BDFundPortfolio!$A$1:$P$201</definedName>
    <definedName name="ExternalData_1" localSheetId="2" hidden="1">DashSummary!$A$1:$AJ$181</definedName>
    <definedName name="ExternalData_1" localSheetId="4" hidden="1">SampleTradeList!$A$1:$L$35</definedName>
    <definedName name="I">VaR!$C$9</definedName>
    <definedName name="K">VaR!$B$6</definedName>
    <definedName name="ndone">VaR!$B$22</definedName>
    <definedName name="ndtwo">VaR!$B$23</definedName>
    <definedName name="nndone">VaR!$B$24</definedName>
    <definedName name="nndtwo">VaR!$B$25</definedName>
    <definedName name="nnone">VaR!$B$26</definedName>
    <definedName name="PutPrice">VaR!$B$10</definedName>
    <definedName name="S">VaR!$C$6</definedName>
    <definedName name="solver_adj" localSheetId="8" hidden="1">COVEREDCALLS!$D$2:$D$3</definedName>
    <definedName name="solver_cvg" localSheetId="8" hidden="1">0.0001</definedName>
    <definedName name="solver_drv" localSheetId="8" hidden="1">2</definedName>
    <definedName name="solver_eng" localSheetId="8" hidden="1">1</definedName>
    <definedName name="solver_est" localSheetId="8" hidden="1">1</definedName>
    <definedName name="solver_itr" localSheetId="8" hidden="1">2147483647</definedName>
    <definedName name="solver_lhs1" localSheetId="8" hidden="1">COVEREDCALLS!$D$2</definedName>
    <definedName name="solver_lhs2" localSheetId="8" hidden="1">COVEREDCALLS!$D$3</definedName>
    <definedName name="solver_mip" localSheetId="8" hidden="1">2147483647</definedName>
    <definedName name="solver_mni" localSheetId="8" hidden="1">30</definedName>
    <definedName name="solver_mrt" localSheetId="8" hidden="1">0.075</definedName>
    <definedName name="solver_msl" localSheetId="8" hidden="1">2</definedName>
    <definedName name="solver_neg" localSheetId="8" hidden="1">1</definedName>
    <definedName name="solver_nod" localSheetId="8" hidden="1">2147483647</definedName>
    <definedName name="solver_num" localSheetId="8" hidden="1">2</definedName>
    <definedName name="solver_nwt" localSheetId="8" hidden="1">1</definedName>
    <definedName name="solver_opt" localSheetId="8" hidden="1">COVEREDCALLS!$D$5</definedName>
    <definedName name="solver_pre" localSheetId="8" hidden="1">0.000001</definedName>
    <definedName name="solver_rbv" localSheetId="8" hidden="1">2</definedName>
    <definedName name="solver_rel1" localSheetId="8" hidden="1">3</definedName>
    <definedName name="solver_rel2" localSheetId="8" hidden="1">3</definedName>
    <definedName name="solver_rhs1" localSheetId="8" hidden="1">0</definedName>
    <definedName name="solver_rhs2" localSheetId="8" hidden="1">0</definedName>
    <definedName name="solver_rlx" localSheetId="8" hidden="1">2</definedName>
    <definedName name="solver_rsd" localSheetId="8" hidden="1">0</definedName>
    <definedName name="solver_scl" localSheetId="8" hidden="1">2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8" hidden="1">1</definedName>
    <definedName name="solver_val" localSheetId="8" hidden="1">0</definedName>
    <definedName name="solver_ver" localSheetId="8" hidden="1">3</definedName>
    <definedName name="T">VaR!$C$11</definedName>
    <definedName name="TARGET_CURRENCY">Portfolio!$B$7</definedName>
    <definedName name="TICKER">Portfolio!$1:$1048576</definedName>
    <definedName name="V">VaR!$C$12</definedName>
    <definedName name="X">VaR!$C$7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2" i="13" l="1"/>
  <c r="B19" i="13"/>
  <c r="B20" i="13" s="1"/>
  <c r="B26" i="13" l="1"/>
  <c r="B24" i="13"/>
  <c r="B22" i="13"/>
  <c r="B21" i="13"/>
  <c r="D16" i="13" l="1"/>
  <c r="D15" i="13"/>
  <c r="B25" i="13"/>
  <c r="B16" i="13" s="1"/>
  <c r="B23" i="13"/>
  <c r="B15" i="13" s="1"/>
  <c r="C15" i="13"/>
  <c r="C16" i="13" l="1"/>
  <c r="E16" i="13" s="1"/>
  <c r="E15" i="13"/>
  <c r="J1002" i="9" l="1"/>
  <c r="J1001" i="9"/>
  <c r="J1000" i="9"/>
  <c r="J999" i="9"/>
  <c r="J998" i="9"/>
  <c r="J997" i="9"/>
  <c r="J996" i="9"/>
  <c r="J995" i="9"/>
  <c r="J994" i="9"/>
  <c r="J993" i="9"/>
  <c r="J992" i="9"/>
  <c r="J991" i="9"/>
  <c r="J990" i="9"/>
  <c r="J989" i="9"/>
  <c r="J988" i="9"/>
  <c r="J987" i="9"/>
  <c r="J986" i="9"/>
  <c r="J985" i="9"/>
  <c r="J984" i="9"/>
  <c r="J983" i="9"/>
  <c r="J982" i="9"/>
  <c r="J981" i="9"/>
  <c r="J980" i="9"/>
  <c r="J979" i="9"/>
  <c r="J978" i="9"/>
  <c r="J977" i="9"/>
  <c r="J976" i="9"/>
  <c r="J975" i="9"/>
  <c r="J974" i="9"/>
  <c r="J973" i="9"/>
  <c r="J972" i="9"/>
  <c r="J971" i="9"/>
  <c r="J970" i="9"/>
  <c r="J969" i="9"/>
  <c r="J968" i="9"/>
  <c r="J967" i="9"/>
  <c r="J966" i="9"/>
  <c r="J965" i="9"/>
  <c r="J964" i="9"/>
  <c r="J963" i="9"/>
  <c r="J962" i="9"/>
  <c r="J961" i="9"/>
  <c r="J960" i="9"/>
  <c r="J959" i="9"/>
  <c r="J958" i="9"/>
  <c r="J957" i="9"/>
  <c r="J956" i="9"/>
  <c r="J955" i="9"/>
  <c r="J954" i="9"/>
  <c r="J953" i="9"/>
  <c r="J952" i="9"/>
  <c r="J951" i="9"/>
  <c r="J950" i="9"/>
  <c r="J949" i="9"/>
  <c r="J948" i="9"/>
  <c r="J947" i="9"/>
  <c r="J946" i="9"/>
  <c r="J945" i="9"/>
  <c r="J944" i="9"/>
  <c r="J943" i="9"/>
  <c r="J942" i="9"/>
  <c r="J941" i="9"/>
  <c r="J940" i="9"/>
  <c r="J939" i="9"/>
  <c r="J938" i="9"/>
  <c r="J937" i="9"/>
  <c r="J936" i="9"/>
  <c r="J935" i="9"/>
  <c r="J934" i="9"/>
  <c r="J933" i="9"/>
  <c r="J932" i="9"/>
  <c r="J931" i="9"/>
  <c r="J930" i="9"/>
  <c r="J929" i="9"/>
  <c r="J928" i="9"/>
  <c r="J927" i="9"/>
  <c r="J926" i="9"/>
  <c r="J925" i="9"/>
  <c r="J924" i="9"/>
  <c r="J923" i="9"/>
  <c r="J922" i="9"/>
  <c r="J921" i="9"/>
  <c r="J920" i="9"/>
  <c r="J919" i="9"/>
  <c r="J918" i="9"/>
  <c r="J917" i="9"/>
  <c r="J916" i="9"/>
  <c r="J915" i="9"/>
  <c r="J914" i="9"/>
  <c r="J913" i="9"/>
  <c r="J912" i="9"/>
  <c r="J911" i="9"/>
  <c r="J910" i="9"/>
  <c r="J909" i="9"/>
  <c r="J908" i="9"/>
  <c r="J907" i="9"/>
  <c r="J906" i="9"/>
  <c r="J905" i="9"/>
  <c r="J904" i="9"/>
  <c r="J903" i="9"/>
  <c r="J902" i="9"/>
  <c r="J901" i="9"/>
  <c r="J900" i="9"/>
  <c r="J899" i="9"/>
  <c r="J898" i="9"/>
  <c r="J897" i="9"/>
  <c r="J896" i="9"/>
  <c r="J895" i="9"/>
  <c r="J894" i="9"/>
  <c r="J893" i="9"/>
  <c r="J892" i="9"/>
  <c r="J891" i="9"/>
  <c r="J890" i="9"/>
  <c r="J889" i="9"/>
  <c r="J888" i="9"/>
  <c r="J887" i="9"/>
  <c r="J886" i="9"/>
  <c r="J885" i="9"/>
  <c r="J884" i="9"/>
  <c r="J883" i="9"/>
  <c r="J882" i="9"/>
  <c r="J881" i="9"/>
  <c r="J880" i="9"/>
  <c r="J879" i="9"/>
  <c r="J878" i="9"/>
  <c r="J877" i="9"/>
  <c r="J876" i="9"/>
  <c r="J875" i="9"/>
  <c r="J874" i="9"/>
  <c r="J873" i="9"/>
  <c r="J872" i="9"/>
  <c r="J871" i="9"/>
  <c r="J870" i="9"/>
  <c r="J869" i="9"/>
  <c r="J868" i="9"/>
  <c r="J867" i="9"/>
  <c r="J866" i="9"/>
  <c r="J865" i="9"/>
  <c r="J864" i="9"/>
  <c r="J863" i="9"/>
  <c r="J862" i="9"/>
  <c r="J861" i="9"/>
  <c r="J860" i="9"/>
  <c r="J859" i="9"/>
  <c r="J858" i="9"/>
  <c r="J857" i="9"/>
  <c r="J856" i="9"/>
  <c r="J855" i="9"/>
  <c r="J854" i="9"/>
  <c r="J853" i="9"/>
  <c r="J852" i="9"/>
  <c r="J851" i="9"/>
  <c r="J850" i="9"/>
  <c r="J849" i="9"/>
  <c r="J848" i="9"/>
  <c r="J847" i="9"/>
  <c r="J846" i="9"/>
  <c r="J845" i="9"/>
  <c r="J844" i="9"/>
  <c r="J843" i="9"/>
  <c r="J842" i="9"/>
  <c r="J841" i="9"/>
  <c r="J840" i="9"/>
  <c r="J839" i="9"/>
  <c r="J838" i="9"/>
  <c r="J837" i="9"/>
  <c r="J836" i="9"/>
  <c r="J835" i="9"/>
  <c r="J834" i="9"/>
  <c r="J833" i="9"/>
  <c r="J832" i="9"/>
  <c r="J831" i="9"/>
  <c r="J830" i="9"/>
  <c r="J829" i="9"/>
  <c r="J828" i="9"/>
  <c r="J827" i="9"/>
  <c r="J826" i="9"/>
  <c r="J825" i="9"/>
  <c r="J824" i="9"/>
  <c r="J823" i="9"/>
  <c r="J822" i="9"/>
  <c r="J821" i="9"/>
  <c r="J820" i="9"/>
  <c r="J819" i="9"/>
  <c r="J818" i="9"/>
  <c r="J817" i="9"/>
  <c r="J816" i="9"/>
  <c r="J815" i="9"/>
  <c r="J814" i="9"/>
  <c r="J813" i="9"/>
  <c r="J812" i="9"/>
  <c r="J811" i="9"/>
  <c r="J810" i="9"/>
  <c r="J809" i="9"/>
  <c r="J808" i="9"/>
  <c r="J807" i="9"/>
  <c r="J806" i="9"/>
  <c r="J805" i="9"/>
  <c r="J804" i="9"/>
  <c r="J803" i="9"/>
  <c r="J802" i="9"/>
  <c r="J801" i="9"/>
  <c r="J800" i="9"/>
  <c r="J799" i="9"/>
  <c r="J798" i="9"/>
  <c r="J797" i="9"/>
  <c r="J796" i="9"/>
  <c r="J795" i="9"/>
  <c r="J794" i="9"/>
  <c r="J793" i="9"/>
  <c r="J792" i="9"/>
  <c r="J791" i="9"/>
  <c r="J790" i="9"/>
  <c r="J789" i="9"/>
  <c r="J788" i="9"/>
  <c r="J787" i="9"/>
  <c r="J786" i="9"/>
  <c r="J785" i="9"/>
  <c r="J784" i="9"/>
  <c r="J783" i="9"/>
  <c r="J782" i="9"/>
  <c r="J781" i="9"/>
  <c r="J780" i="9"/>
  <c r="J779" i="9"/>
  <c r="J778" i="9"/>
  <c r="J777" i="9"/>
  <c r="J776" i="9"/>
  <c r="J775" i="9"/>
  <c r="J774" i="9"/>
  <c r="J773" i="9"/>
  <c r="J772" i="9"/>
  <c r="J771" i="9"/>
  <c r="J770" i="9"/>
  <c r="J769" i="9"/>
  <c r="J768" i="9"/>
  <c r="J767" i="9"/>
  <c r="J766" i="9"/>
  <c r="J765" i="9"/>
  <c r="J764" i="9"/>
  <c r="J763" i="9"/>
  <c r="J762" i="9"/>
  <c r="J761" i="9"/>
  <c r="J760" i="9"/>
  <c r="J759" i="9"/>
  <c r="J758" i="9"/>
  <c r="J757" i="9"/>
  <c r="J756" i="9"/>
  <c r="J755" i="9"/>
  <c r="J754" i="9"/>
  <c r="J753" i="9"/>
  <c r="J752" i="9"/>
  <c r="J751" i="9"/>
  <c r="J750" i="9"/>
  <c r="J749" i="9"/>
  <c r="J748" i="9"/>
  <c r="J747" i="9"/>
  <c r="J746" i="9"/>
  <c r="J745" i="9"/>
  <c r="J744" i="9"/>
  <c r="J743" i="9"/>
  <c r="J742" i="9"/>
  <c r="J741" i="9"/>
  <c r="J740" i="9"/>
  <c r="J739" i="9"/>
  <c r="J738" i="9"/>
  <c r="J737" i="9"/>
  <c r="J736" i="9"/>
  <c r="J735" i="9"/>
  <c r="J734" i="9"/>
  <c r="J733" i="9"/>
  <c r="J732" i="9"/>
  <c r="J731" i="9"/>
  <c r="J730" i="9"/>
  <c r="J729" i="9"/>
  <c r="J728" i="9"/>
  <c r="J727" i="9"/>
  <c r="J726" i="9"/>
  <c r="J725" i="9"/>
  <c r="J724" i="9"/>
  <c r="J723" i="9"/>
  <c r="J722" i="9"/>
  <c r="J721" i="9"/>
  <c r="J720" i="9"/>
  <c r="J719" i="9"/>
  <c r="J718" i="9"/>
  <c r="J717" i="9"/>
  <c r="J716" i="9"/>
  <c r="J715" i="9"/>
  <c r="J714" i="9"/>
  <c r="J713" i="9"/>
  <c r="J712" i="9"/>
  <c r="J711" i="9"/>
  <c r="J710" i="9"/>
  <c r="J709" i="9"/>
  <c r="J708" i="9"/>
  <c r="J707" i="9"/>
  <c r="J706" i="9"/>
  <c r="J705" i="9"/>
  <c r="J704" i="9"/>
  <c r="J703" i="9"/>
  <c r="J702" i="9"/>
  <c r="J701" i="9"/>
  <c r="J700" i="9"/>
  <c r="J699" i="9"/>
  <c r="J698" i="9"/>
  <c r="J697" i="9"/>
  <c r="J696" i="9"/>
  <c r="J695" i="9"/>
  <c r="J694" i="9"/>
  <c r="J693" i="9"/>
  <c r="J692" i="9"/>
  <c r="J691" i="9"/>
  <c r="J690" i="9"/>
  <c r="J689" i="9"/>
  <c r="J688" i="9"/>
  <c r="J687" i="9"/>
  <c r="J686" i="9"/>
  <c r="J685" i="9"/>
  <c r="J684" i="9"/>
  <c r="J683" i="9"/>
  <c r="J682" i="9"/>
  <c r="J681" i="9"/>
  <c r="J680" i="9"/>
  <c r="J679" i="9"/>
  <c r="J678" i="9"/>
  <c r="J677" i="9"/>
  <c r="J676" i="9"/>
  <c r="J675" i="9"/>
  <c r="J674" i="9"/>
  <c r="J673" i="9"/>
  <c r="J672" i="9"/>
  <c r="J671" i="9"/>
  <c r="J670" i="9"/>
  <c r="J669" i="9"/>
  <c r="J668" i="9"/>
  <c r="J667" i="9"/>
  <c r="J666" i="9"/>
  <c r="J665" i="9"/>
  <c r="J664" i="9"/>
  <c r="J663" i="9"/>
  <c r="J662" i="9"/>
  <c r="J661" i="9"/>
  <c r="J660" i="9"/>
  <c r="J659" i="9"/>
  <c r="J658" i="9"/>
  <c r="J657" i="9"/>
  <c r="J656" i="9"/>
  <c r="J655" i="9"/>
  <c r="J654" i="9"/>
  <c r="J653" i="9"/>
  <c r="J652" i="9"/>
  <c r="J651" i="9"/>
  <c r="J650" i="9"/>
  <c r="J649" i="9"/>
  <c r="J648" i="9"/>
  <c r="J647" i="9"/>
  <c r="J646" i="9"/>
  <c r="J645" i="9"/>
  <c r="J644" i="9"/>
  <c r="J643" i="9"/>
  <c r="J642" i="9"/>
  <c r="J641" i="9"/>
  <c r="J640" i="9"/>
  <c r="J639" i="9"/>
  <c r="J638" i="9"/>
  <c r="J637" i="9"/>
  <c r="J636" i="9"/>
  <c r="J635" i="9"/>
  <c r="J634" i="9"/>
  <c r="J633" i="9"/>
  <c r="J632" i="9"/>
  <c r="J631" i="9"/>
  <c r="J630" i="9"/>
  <c r="J629" i="9"/>
  <c r="J628" i="9"/>
  <c r="J627" i="9"/>
  <c r="J626" i="9"/>
  <c r="J625" i="9"/>
  <c r="J624" i="9"/>
  <c r="J623" i="9"/>
  <c r="J622" i="9"/>
  <c r="J621" i="9"/>
  <c r="J620" i="9"/>
  <c r="J619" i="9"/>
  <c r="J618" i="9"/>
  <c r="J617" i="9"/>
  <c r="J616" i="9"/>
  <c r="J615" i="9"/>
  <c r="J614" i="9"/>
  <c r="J613" i="9"/>
  <c r="J612" i="9"/>
  <c r="J611" i="9"/>
  <c r="J610" i="9"/>
  <c r="J609" i="9"/>
  <c r="J608" i="9"/>
  <c r="J607" i="9"/>
  <c r="J606" i="9"/>
  <c r="J605" i="9"/>
  <c r="J604" i="9"/>
  <c r="J603" i="9"/>
  <c r="J602" i="9"/>
  <c r="J601" i="9"/>
  <c r="J600" i="9"/>
  <c r="J599" i="9"/>
  <c r="J598" i="9"/>
  <c r="J597" i="9"/>
  <c r="J596" i="9"/>
  <c r="J595" i="9"/>
  <c r="J594" i="9"/>
  <c r="J593" i="9"/>
  <c r="J592" i="9"/>
  <c r="J591" i="9"/>
  <c r="J590" i="9"/>
  <c r="J589" i="9"/>
  <c r="J588" i="9"/>
  <c r="J587" i="9"/>
  <c r="J586" i="9"/>
  <c r="J585" i="9"/>
  <c r="J584" i="9"/>
  <c r="J583" i="9"/>
  <c r="J582" i="9"/>
  <c r="J581" i="9"/>
  <c r="J580" i="9"/>
  <c r="J579" i="9"/>
  <c r="J578" i="9"/>
  <c r="J577" i="9"/>
  <c r="J576" i="9"/>
  <c r="J575" i="9"/>
  <c r="J574" i="9"/>
  <c r="J573" i="9"/>
  <c r="J572" i="9"/>
  <c r="J571" i="9"/>
  <c r="J570" i="9"/>
  <c r="J569" i="9"/>
  <c r="J568" i="9"/>
  <c r="J567" i="9"/>
  <c r="J566" i="9"/>
  <c r="J565" i="9"/>
  <c r="J564" i="9"/>
  <c r="J563" i="9"/>
  <c r="J562" i="9"/>
  <c r="J561" i="9"/>
  <c r="J560" i="9"/>
  <c r="J559" i="9"/>
  <c r="J558" i="9"/>
  <c r="J557" i="9"/>
  <c r="J556" i="9"/>
  <c r="J555" i="9"/>
  <c r="J554" i="9"/>
  <c r="J553" i="9"/>
  <c r="J552" i="9"/>
  <c r="J551" i="9"/>
  <c r="J550" i="9"/>
  <c r="J549" i="9"/>
  <c r="J548" i="9"/>
  <c r="J547" i="9"/>
  <c r="J546" i="9"/>
  <c r="J545" i="9"/>
  <c r="J544" i="9"/>
  <c r="J543" i="9"/>
  <c r="J542" i="9"/>
  <c r="J541" i="9"/>
  <c r="J540" i="9"/>
  <c r="J539" i="9"/>
  <c r="J538" i="9"/>
  <c r="J537" i="9"/>
  <c r="J536" i="9"/>
  <c r="J535" i="9"/>
  <c r="J534" i="9"/>
  <c r="J533" i="9"/>
  <c r="J532" i="9"/>
  <c r="J531" i="9"/>
  <c r="J530" i="9"/>
  <c r="J529" i="9"/>
  <c r="J528" i="9"/>
  <c r="J527" i="9"/>
  <c r="J526" i="9"/>
  <c r="J525" i="9"/>
  <c r="J524" i="9"/>
  <c r="J523" i="9"/>
  <c r="J522" i="9"/>
  <c r="J521" i="9"/>
  <c r="J520" i="9"/>
  <c r="J519" i="9"/>
  <c r="J518" i="9"/>
  <c r="J517" i="9"/>
  <c r="J516" i="9"/>
  <c r="J515" i="9"/>
  <c r="J514" i="9"/>
  <c r="J513" i="9"/>
  <c r="J512" i="9"/>
  <c r="J511" i="9"/>
  <c r="J510" i="9"/>
  <c r="J509" i="9"/>
  <c r="J508" i="9"/>
  <c r="J507" i="9"/>
  <c r="J506" i="9"/>
  <c r="J505" i="9"/>
  <c r="J504" i="9"/>
  <c r="J503" i="9"/>
  <c r="J502" i="9"/>
  <c r="J501" i="9"/>
  <c r="J500" i="9"/>
  <c r="J499" i="9"/>
  <c r="J498" i="9"/>
  <c r="J497" i="9"/>
  <c r="J496" i="9"/>
  <c r="J495" i="9"/>
  <c r="J494" i="9"/>
  <c r="J493" i="9"/>
  <c r="J492" i="9"/>
  <c r="J491" i="9"/>
  <c r="J490" i="9"/>
  <c r="J489" i="9"/>
  <c r="J488" i="9"/>
  <c r="J487" i="9"/>
  <c r="J486" i="9"/>
  <c r="J485" i="9"/>
  <c r="J484" i="9"/>
  <c r="J483" i="9"/>
  <c r="J482" i="9"/>
  <c r="J481" i="9"/>
  <c r="J480" i="9"/>
  <c r="J479" i="9"/>
  <c r="J478" i="9"/>
  <c r="J477" i="9"/>
  <c r="J476" i="9"/>
  <c r="J475" i="9"/>
  <c r="J474" i="9"/>
  <c r="J473" i="9"/>
  <c r="J472" i="9"/>
  <c r="J471" i="9"/>
  <c r="J470" i="9"/>
  <c r="J469" i="9"/>
  <c r="J468" i="9"/>
  <c r="J467" i="9"/>
  <c r="J466" i="9"/>
  <c r="J465" i="9"/>
  <c r="J464" i="9"/>
  <c r="J463" i="9"/>
  <c r="J462" i="9"/>
  <c r="J461" i="9"/>
  <c r="J460" i="9"/>
  <c r="J459" i="9"/>
  <c r="J458" i="9"/>
  <c r="J457" i="9"/>
  <c r="J456" i="9"/>
  <c r="J455" i="9"/>
  <c r="J454" i="9"/>
  <c r="J453" i="9"/>
  <c r="J452" i="9"/>
  <c r="J451" i="9"/>
  <c r="J450" i="9"/>
  <c r="J449" i="9"/>
  <c r="J448" i="9"/>
  <c r="J447" i="9"/>
  <c r="J446" i="9"/>
  <c r="J445" i="9"/>
  <c r="J444" i="9"/>
  <c r="J443" i="9"/>
  <c r="J442" i="9"/>
  <c r="J441" i="9"/>
  <c r="J440" i="9"/>
  <c r="J439" i="9"/>
  <c r="J438" i="9"/>
  <c r="J437" i="9"/>
  <c r="J436" i="9"/>
  <c r="J435" i="9"/>
  <c r="J434" i="9"/>
  <c r="J433" i="9"/>
  <c r="J432" i="9"/>
  <c r="J431" i="9"/>
  <c r="J430" i="9"/>
  <c r="J429" i="9"/>
  <c r="J428" i="9"/>
  <c r="J427" i="9"/>
  <c r="J426" i="9"/>
  <c r="J425" i="9"/>
  <c r="J424" i="9"/>
  <c r="J423" i="9"/>
  <c r="J422" i="9"/>
  <c r="J421" i="9"/>
  <c r="J420" i="9"/>
  <c r="J419" i="9"/>
  <c r="J418" i="9"/>
  <c r="J417" i="9"/>
  <c r="J416" i="9"/>
  <c r="J415" i="9"/>
  <c r="J414" i="9"/>
  <c r="J413" i="9"/>
  <c r="J412" i="9"/>
  <c r="J411" i="9"/>
  <c r="J410" i="9"/>
  <c r="J409" i="9"/>
  <c r="J408" i="9"/>
  <c r="J407" i="9"/>
  <c r="J406" i="9"/>
  <c r="J405" i="9"/>
  <c r="J404" i="9"/>
  <c r="J403" i="9"/>
  <c r="J402" i="9"/>
  <c r="J401" i="9"/>
  <c r="J400" i="9"/>
  <c r="J399" i="9"/>
  <c r="J398" i="9"/>
  <c r="J397" i="9"/>
  <c r="J396" i="9"/>
  <c r="J395" i="9"/>
  <c r="J394" i="9"/>
  <c r="J393" i="9"/>
  <c r="J392" i="9"/>
  <c r="J391" i="9"/>
  <c r="J390" i="9"/>
  <c r="J389" i="9"/>
  <c r="J388" i="9"/>
  <c r="J387" i="9"/>
  <c r="J386" i="9"/>
  <c r="J385" i="9"/>
  <c r="J384" i="9"/>
  <c r="J383" i="9"/>
  <c r="J382" i="9"/>
  <c r="J381" i="9"/>
  <c r="J380" i="9"/>
  <c r="J379" i="9"/>
  <c r="J378" i="9"/>
  <c r="J377" i="9"/>
  <c r="J376" i="9"/>
  <c r="J375" i="9"/>
  <c r="J374" i="9"/>
  <c r="J373" i="9"/>
  <c r="J372" i="9"/>
  <c r="J371" i="9"/>
  <c r="J370" i="9"/>
  <c r="J369" i="9"/>
  <c r="J368" i="9"/>
  <c r="J367" i="9"/>
  <c r="J366" i="9"/>
  <c r="J365" i="9"/>
  <c r="J364" i="9"/>
  <c r="J363" i="9"/>
  <c r="J362" i="9"/>
  <c r="J361" i="9"/>
  <c r="J360" i="9"/>
  <c r="J359" i="9"/>
  <c r="J358" i="9"/>
  <c r="J357" i="9"/>
  <c r="J356" i="9"/>
  <c r="J355" i="9"/>
  <c r="J354" i="9"/>
  <c r="J353" i="9"/>
  <c r="J352" i="9"/>
  <c r="J351" i="9"/>
  <c r="J350" i="9"/>
  <c r="J349" i="9"/>
  <c r="J348" i="9"/>
  <c r="J347" i="9"/>
  <c r="J346" i="9"/>
  <c r="J345" i="9"/>
  <c r="J344" i="9"/>
  <c r="J343" i="9"/>
  <c r="J342" i="9"/>
  <c r="J341" i="9"/>
  <c r="J340" i="9"/>
  <c r="J339" i="9"/>
  <c r="J338" i="9"/>
  <c r="J337" i="9"/>
  <c r="J336" i="9"/>
  <c r="J335" i="9"/>
  <c r="J334" i="9"/>
  <c r="J333" i="9"/>
  <c r="J332" i="9"/>
  <c r="J331" i="9"/>
  <c r="J330" i="9"/>
  <c r="J329" i="9"/>
  <c r="J328" i="9"/>
  <c r="J327" i="9"/>
  <c r="J326" i="9"/>
  <c r="J325" i="9"/>
  <c r="J324" i="9"/>
  <c r="J323" i="9"/>
  <c r="J322" i="9"/>
  <c r="J321" i="9"/>
  <c r="J320" i="9"/>
  <c r="J319" i="9"/>
  <c r="J318" i="9"/>
  <c r="J317" i="9"/>
  <c r="J316" i="9"/>
  <c r="J315" i="9"/>
  <c r="J314" i="9"/>
  <c r="J313" i="9"/>
  <c r="J312" i="9"/>
  <c r="J311" i="9"/>
  <c r="J310" i="9"/>
  <c r="J309" i="9"/>
  <c r="J308" i="9"/>
  <c r="J307" i="9"/>
  <c r="J306" i="9"/>
  <c r="J305" i="9"/>
  <c r="J304" i="9"/>
  <c r="J303" i="9"/>
  <c r="J302" i="9"/>
  <c r="J301" i="9"/>
  <c r="J300" i="9"/>
  <c r="J299" i="9"/>
  <c r="J298" i="9"/>
  <c r="J297" i="9"/>
  <c r="J296" i="9"/>
  <c r="J295" i="9"/>
  <c r="J294" i="9"/>
  <c r="J293" i="9"/>
  <c r="J292" i="9"/>
  <c r="J291" i="9"/>
  <c r="J290" i="9"/>
  <c r="J289" i="9"/>
  <c r="J288" i="9"/>
  <c r="J287" i="9"/>
  <c r="J286" i="9"/>
  <c r="J285" i="9"/>
  <c r="J284" i="9"/>
  <c r="J283" i="9"/>
  <c r="J282" i="9"/>
  <c r="J281" i="9"/>
  <c r="J280" i="9"/>
  <c r="J279" i="9"/>
  <c r="J278" i="9"/>
  <c r="J277" i="9"/>
  <c r="J276" i="9"/>
  <c r="J275" i="9"/>
  <c r="J274" i="9"/>
  <c r="J273" i="9"/>
  <c r="J272" i="9"/>
  <c r="J271" i="9"/>
  <c r="J270" i="9"/>
  <c r="J269" i="9"/>
  <c r="J268" i="9"/>
  <c r="J267" i="9"/>
  <c r="J266" i="9"/>
  <c r="J265" i="9"/>
  <c r="J264" i="9"/>
  <c r="J263" i="9"/>
  <c r="J262" i="9"/>
  <c r="J261" i="9"/>
  <c r="J260" i="9"/>
  <c r="J259" i="9"/>
  <c r="J258" i="9"/>
  <c r="J257" i="9"/>
  <c r="J256" i="9"/>
  <c r="J255" i="9"/>
  <c r="J254" i="9"/>
  <c r="J253" i="9"/>
  <c r="J252" i="9"/>
  <c r="J251" i="9"/>
  <c r="J250" i="9"/>
  <c r="J249" i="9"/>
  <c r="J248" i="9"/>
  <c r="J247" i="9"/>
  <c r="J246" i="9"/>
  <c r="J245" i="9"/>
  <c r="J244" i="9"/>
  <c r="J243" i="9"/>
  <c r="J242" i="9"/>
  <c r="J241" i="9"/>
  <c r="J240" i="9"/>
  <c r="J239" i="9"/>
  <c r="J238" i="9"/>
  <c r="J237" i="9"/>
  <c r="J236" i="9"/>
  <c r="J235" i="9"/>
  <c r="J234" i="9"/>
  <c r="J233" i="9"/>
  <c r="J232" i="9"/>
  <c r="J231" i="9"/>
  <c r="J230" i="9"/>
  <c r="J229" i="9"/>
  <c r="J228" i="9"/>
  <c r="J227" i="9"/>
  <c r="J226" i="9"/>
  <c r="J225" i="9"/>
  <c r="J224" i="9"/>
  <c r="J223" i="9"/>
  <c r="J222" i="9"/>
  <c r="J221" i="9"/>
  <c r="J220" i="9"/>
  <c r="J219" i="9"/>
  <c r="J218" i="9"/>
  <c r="J217" i="9"/>
  <c r="J216" i="9"/>
  <c r="J215" i="9"/>
  <c r="J214" i="9"/>
  <c r="J213" i="9"/>
  <c r="J212" i="9"/>
  <c r="J211" i="9"/>
  <c r="J210" i="9"/>
  <c r="J209" i="9"/>
  <c r="J208" i="9"/>
  <c r="J207" i="9"/>
  <c r="J206" i="9"/>
  <c r="J205" i="9"/>
  <c r="J204" i="9"/>
  <c r="J203" i="9"/>
  <c r="J202" i="9"/>
  <c r="J201" i="9"/>
  <c r="J200" i="9"/>
  <c r="J199" i="9"/>
  <c r="J198" i="9"/>
  <c r="J197" i="9"/>
  <c r="J196" i="9"/>
  <c r="J195" i="9"/>
  <c r="J194" i="9"/>
  <c r="J193" i="9"/>
  <c r="J192" i="9"/>
  <c r="J191" i="9"/>
  <c r="J190" i="9"/>
  <c r="J189" i="9"/>
  <c r="J188" i="9"/>
  <c r="J187" i="9"/>
  <c r="J186" i="9"/>
  <c r="J185" i="9"/>
  <c r="J184" i="9"/>
  <c r="J183" i="9"/>
  <c r="J182" i="9"/>
  <c r="J181" i="9"/>
  <c r="J180" i="9"/>
  <c r="J179" i="9"/>
  <c r="J178" i="9"/>
  <c r="J177" i="9"/>
  <c r="J176" i="9"/>
  <c r="J175" i="9"/>
  <c r="J174" i="9"/>
  <c r="J173" i="9"/>
  <c r="J172" i="9"/>
  <c r="J171" i="9"/>
  <c r="J170" i="9"/>
  <c r="J169" i="9"/>
  <c r="J168" i="9"/>
  <c r="J167" i="9"/>
  <c r="J166" i="9"/>
  <c r="J165" i="9"/>
  <c r="J164" i="9"/>
  <c r="J163" i="9"/>
  <c r="J162" i="9"/>
  <c r="J161" i="9"/>
  <c r="J160" i="9"/>
  <c r="J159" i="9"/>
  <c r="J158" i="9"/>
  <c r="J157" i="9"/>
  <c r="J156" i="9"/>
  <c r="J155" i="9"/>
  <c r="J154" i="9"/>
  <c r="J153" i="9"/>
  <c r="J152" i="9"/>
  <c r="J151" i="9"/>
  <c r="J150" i="9"/>
  <c r="J149" i="9"/>
  <c r="J148" i="9"/>
  <c r="J147" i="9"/>
  <c r="J146" i="9"/>
  <c r="J145" i="9"/>
  <c r="J144" i="9"/>
  <c r="J143" i="9"/>
  <c r="J142" i="9"/>
  <c r="J141" i="9"/>
  <c r="J140" i="9"/>
  <c r="J139" i="9"/>
  <c r="J138" i="9"/>
  <c r="J137" i="9"/>
  <c r="J136" i="9"/>
  <c r="J135" i="9"/>
  <c r="J134" i="9"/>
  <c r="J133" i="9"/>
  <c r="J132" i="9"/>
  <c r="J131" i="9"/>
  <c r="J130" i="9"/>
  <c r="J129" i="9"/>
  <c r="J128" i="9"/>
  <c r="J127" i="9"/>
  <c r="J126" i="9"/>
  <c r="J125" i="9"/>
  <c r="J124" i="9"/>
  <c r="J123" i="9"/>
  <c r="J122" i="9"/>
  <c r="J121" i="9"/>
  <c r="J120" i="9"/>
  <c r="J119" i="9"/>
  <c r="J118" i="9"/>
  <c r="J117" i="9"/>
  <c r="J116" i="9"/>
  <c r="J115" i="9"/>
  <c r="J114" i="9"/>
  <c r="J113" i="9"/>
  <c r="J112" i="9"/>
  <c r="J111" i="9"/>
  <c r="J110" i="9"/>
  <c r="J109" i="9"/>
  <c r="J108" i="9"/>
  <c r="J107" i="9"/>
  <c r="J106" i="9"/>
  <c r="J105" i="9"/>
  <c r="J104" i="9"/>
  <c r="J103" i="9"/>
  <c r="J102" i="9"/>
  <c r="J101" i="9"/>
  <c r="J100" i="9"/>
  <c r="J99" i="9"/>
  <c r="J98" i="9"/>
  <c r="J97" i="9"/>
  <c r="J96" i="9"/>
  <c r="J95" i="9"/>
  <c r="J94" i="9"/>
  <c r="J93" i="9"/>
  <c r="J92" i="9"/>
  <c r="J91" i="9"/>
  <c r="J90" i="9"/>
  <c r="J89" i="9"/>
  <c r="J88" i="9"/>
  <c r="J87" i="9"/>
  <c r="J86" i="9"/>
  <c r="J85" i="9"/>
  <c r="J84" i="9"/>
  <c r="J83" i="9"/>
  <c r="J82" i="9"/>
  <c r="J81" i="9"/>
  <c r="J80" i="9"/>
  <c r="J79" i="9"/>
  <c r="J78" i="9"/>
  <c r="J77" i="9"/>
  <c r="J76" i="9"/>
  <c r="J75" i="9"/>
  <c r="J74" i="9"/>
  <c r="J73" i="9"/>
  <c r="J72" i="9"/>
  <c r="J71" i="9"/>
  <c r="J70" i="9"/>
  <c r="J69" i="9"/>
  <c r="J6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D22" i="9"/>
  <c r="L148" i="9" s="1"/>
  <c r="J21" i="9"/>
  <c r="J20" i="9"/>
  <c r="J19" i="9"/>
  <c r="J18" i="9"/>
  <c r="B18" i="9"/>
  <c r="J17" i="9"/>
  <c r="B17" i="9"/>
  <c r="J16" i="9"/>
  <c r="B16" i="9"/>
  <c r="J15" i="9"/>
  <c r="B15" i="9"/>
  <c r="J14" i="9"/>
  <c r="B14" i="9"/>
  <c r="J13" i="9"/>
  <c r="B13" i="9"/>
  <c r="J12" i="9"/>
  <c r="B12" i="9"/>
  <c r="J11" i="9"/>
  <c r="B11" i="9"/>
  <c r="J10" i="9"/>
  <c r="B10" i="9"/>
  <c r="J9" i="9"/>
  <c r="B9" i="9"/>
  <c r="J8" i="9"/>
  <c r="B8" i="9"/>
  <c r="J7" i="9"/>
  <c r="B7" i="9"/>
  <c r="J6" i="9"/>
  <c r="B6" i="9"/>
  <c r="J5" i="9"/>
  <c r="B5" i="9"/>
  <c r="L4" i="9"/>
  <c r="J4" i="9"/>
  <c r="H4" i="9"/>
  <c r="D4" i="9"/>
  <c r="B4" i="9"/>
  <c r="J3" i="9"/>
  <c r="H3" i="9"/>
  <c r="K28" i="9" s="1"/>
  <c r="B3" i="9"/>
  <c r="B19" i="9" s="1"/>
  <c r="H2" i="9"/>
  <c r="K285" i="9" l="1"/>
  <c r="K44" i="9"/>
  <c r="K52" i="9"/>
  <c r="K60" i="9"/>
  <c r="K253" i="9"/>
  <c r="K96" i="9"/>
  <c r="K317" i="9"/>
  <c r="M317" i="9" s="1"/>
  <c r="N317" i="9" s="1"/>
  <c r="K89" i="9"/>
  <c r="K12" i="9"/>
  <c r="M12" i="9" s="1"/>
  <c r="N12" i="9" s="1"/>
  <c r="K160" i="9"/>
  <c r="K8" i="9"/>
  <c r="K68" i="9"/>
  <c r="K76" i="9"/>
  <c r="L3" i="9"/>
  <c r="K16" i="9"/>
  <c r="K84" i="9"/>
  <c r="D5" i="9"/>
  <c r="K36" i="9"/>
  <c r="L20" i="9"/>
  <c r="L71" i="9"/>
  <c r="L101" i="9"/>
  <c r="K5" i="9"/>
  <c r="K9" i="9"/>
  <c r="K13" i="9"/>
  <c r="K17" i="9"/>
  <c r="K26" i="9"/>
  <c r="L29" i="9"/>
  <c r="K34" i="9"/>
  <c r="L37" i="9"/>
  <c r="K42" i="9"/>
  <c r="L45" i="9"/>
  <c r="K50" i="9"/>
  <c r="L53" i="9"/>
  <c r="K58" i="9"/>
  <c r="L61" i="9"/>
  <c r="K66" i="9"/>
  <c r="L69" i="9"/>
  <c r="K74" i="9"/>
  <c r="L77" i="9"/>
  <c r="K82" i="9"/>
  <c r="L85" i="9"/>
  <c r="K92" i="9"/>
  <c r="L99" i="9"/>
  <c r="K116" i="9"/>
  <c r="L118" i="9"/>
  <c r="K123" i="9"/>
  <c r="K126" i="9"/>
  <c r="K131" i="9"/>
  <c r="M131" i="9" s="1"/>
  <c r="N131" i="9" s="1"/>
  <c r="K134" i="9"/>
  <c r="K139" i="9"/>
  <c r="K142" i="9"/>
  <c r="K147" i="9"/>
  <c r="K150" i="9"/>
  <c r="L155" i="9"/>
  <c r="L163" i="9"/>
  <c r="K301" i="9"/>
  <c r="M301" i="9" s="1"/>
  <c r="N301" i="9" s="1"/>
  <c r="L47" i="9"/>
  <c r="L63" i="9"/>
  <c r="L105" i="9"/>
  <c r="K3" i="9"/>
  <c r="M3" i="9" s="1"/>
  <c r="K4" i="9"/>
  <c r="M4" i="9" s="1"/>
  <c r="N4" i="9" s="1"/>
  <c r="L5" i="9"/>
  <c r="L9" i="9"/>
  <c r="L13" i="9"/>
  <c r="L17" i="9"/>
  <c r="K20" i="9"/>
  <c r="K23" i="9"/>
  <c r="L26" i="9"/>
  <c r="K31" i="9"/>
  <c r="L34" i="9"/>
  <c r="K39" i="9"/>
  <c r="L42" i="9"/>
  <c r="K47" i="9"/>
  <c r="M47" i="9" s="1"/>
  <c r="N47" i="9" s="1"/>
  <c r="L50" i="9"/>
  <c r="K55" i="9"/>
  <c r="L58" i="9"/>
  <c r="K63" i="9"/>
  <c r="M63" i="9" s="1"/>
  <c r="N63" i="9" s="1"/>
  <c r="L66" i="9"/>
  <c r="K71" i="9"/>
  <c r="L74" i="9"/>
  <c r="K79" i="9"/>
  <c r="L82" i="9"/>
  <c r="K87" i="9"/>
  <c r="L92" i="9"/>
  <c r="K94" i="9"/>
  <c r="K101" i="9"/>
  <c r="K105" i="9"/>
  <c r="M105" i="9" s="1"/>
  <c r="N105" i="9" s="1"/>
  <c r="K107" i="9"/>
  <c r="L116" i="9"/>
  <c r="K121" i="9"/>
  <c r="L123" i="9"/>
  <c r="L126" i="9"/>
  <c r="K129" i="9"/>
  <c r="L131" i="9"/>
  <c r="L134" i="9"/>
  <c r="K137" i="9"/>
  <c r="L139" i="9"/>
  <c r="L142" i="9"/>
  <c r="K145" i="9"/>
  <c r="L147" i="9"/>
  <c r="L150" i="9"/>
  <c r="K153" i="9"/>
  <c r="K174" i="9"/>
  <c r="K190" i="9"/>
  <c r="K240" i="9"/>
  <c r="K309" i="9"/>
  <c r="L39" i="9"/>
  <c r="L103" i="9"/>
  <c r="L107" i="9"/>
  <c r="L121" i="9"/>
  <c r="L145" i="9"/>
  <c r="L169" i="9"/>
  <c r="L8" i="9"/>
  <c r="L12" i="9"/>
  <c r="L16" i="9"/>
  <c r="K25" i="9"/>
  <c r="L28" i="9"/>
  <c r="M28" i="9" s="1"/>
  <c r="N28" i="9" s="1"/>
  <c r="K33" i="9"/>
  <c r="L36" i="9"/>
  <c r="K41" i="9"/>
  <c r="L44" i="9"/>
  <c r="K49" i="9"/>
  <c r="L52" i="9"/>
  <c r="M52" i="9" s="1"/>
  <c r="N52" i="9" s="1"/>
  <c r="K57" i="9"/>
  <c r="L60" i="9"/>
  <c r="M60" i="9" s="1"/>
  <c r="N60" i="9" s="1"/>
  <c r="K65" i="9"/>
  <c r="L68" i="9"/>
  <c r="M68" i="9" s="1"/>
  <c r="N68" i="9" s="1"/>
  <c r="K73" i="9"/>
  <c r="L76" i="9"/>
  <c r="K81" i="9"/>
  <c r="L84" i="9"/>
  <c r="L89" i="9"/>
  <c r="K91" i="9"/>
  <c r="L96" i="9"/>
  <c r="K98" i="9"/>
  <c r="M98" i="9" s="1"/>
  <c r="N98" i="9" s="1"/>
  <c r="K110" i="9"/>
  <c r="K112" i="9"/>
  <c r="L119" i="9"/>
  <c r="L124" i="9"/>
  <c r="L132" i="9"/>
  <c r="L140" i="9"/>
  <c r="K261" i="9"/>
  <c r="K325" i="9"/>
  <c r="M325" i="9" s="1"/>
  <c r="N325" i="9" s="1"/>
  <c r="L996" i="9"/>
  <c r="L988" i="9"/>
  <c r="L980" i="9"/>
  <c r="L972" i="9"/>
  <c r="L964" i="9"/>
  <c r="L956" i="9"/>
  <c r="L948" i="9"/>
  <c r="L940" i="9"/>
  <c r="L932" i="9"/>
  <c r="L924" i="9"/>
  <c r="L916" i="9"/>
  <c r="L908" i="9"/>
  <c r="L900" i="9"/>
  <c r="L892" i="9"/>
  <c r="L884" i="9"/>
  <c r="L876" i="9"/>
  <c r="L868" i="9"/>
  <c r="L860" i="9"/>
  <c r="L852" i="9"/>
  <c r="L844" i="9"/>
  <c r="L836" i="9"/>
  <c r="L999" i="9"/>
  <c r="L991" i="9"/>
  <c r="L983" i="9"/>
  <c r="L975" i="9"/>
  <c r="L967" i="9"/>
  <c r="L959" i="9"/>
  <c r="L951" i="9"/>
  <c r="L943" i="9"/>
  <c r="L935" i="9"/>
  <c r="L927" i="9"/>
  <c r="L919" i="9"/>
  <c r="L911" i="9"/>
  <c r="L903" i="9"/>
  <c r="L895" i="9"/>
  <c r="L887" i="9"/>
  <c r="L879" i="9"/>
  <c r="L871" i="9"/>
  <c r="L863" i="9"/>
  <c r="L855" i="9"/>
  <c r="L847" i="9"/>
  <c r="L839" i="9"/>
  <c r="L1002" i="9"/>
  <c r="L994" i="9"/>
  <c r="L986" i="9"/>
  <c r="L978" i="9"/>
  <c r="L970" i="9"/>
  <c r="L962" i="9"/>
  <c r="L954" i="9"/>
  <c r="L946" i="9"/>
  <c r="L938" i="9"/>
  <c r="L930" i="9"/>
  <c r="L922" i="9"/>
  <c r="L914" i="9"/>
  <c r="L906" i="9"/>
  <c r="L898" i="9"/>
  <c r="L890" i="9"/>
  <c r="L882" i="9"/>
  <c r="L874" i="9"/>
  <c r="L866" i="9"/>
  <c r="L858" i="9"/>
  <c r="L850" i="9"/>
  <c r="L842" i="9"/>
  <c r="L997" i="9"/>
  <c r="L989" i="9"/>
  <c r="L981" i="9"/>
  <c r="L973" i="9"/>
  <c r="L965" i="9"/>
  <c r="L957" i="9"/>
  <c r="L949" i="9"/>
  <c r="L941" i="9"/>
  <c r="L933" i="9"/>
  <c r="L925" i="9"/>
  <c r="L917" i="9"/>
  <c r="L909" i="9"/>
  <c r="L901" i="9"/>
  <c r="L893" i="9"/>
  <c r="L885" i="9"/>
  <c r="L877" i="9"/>
  <c r="L869" i="9"/>
  <c r="L861" i="9"/>
  <c r="L853" i="9"/>
  <c r="L845" i="9"/>
  <c r="L1000" i="9"/>
  <c r="L992" i="9"/>
  <c r="L984" i="9"/>
  <c r="L976" i="9"/>
  <c r="L968" i="9"/>
  <c r="L960" i="9"/>
  <c r="L952" i="9"/>
  <c r="L944" i="9"/>
  <c r="L936" i="9"/>
  <c r="L928" i="9"/>
  <c r="L920" i="9"/>
  <c r="L912" i="9"/>
  <c r="L904" i="9"/>
  <c r="L896" i="9"/>
  <c r="L888" i="9"/>
  <c r="L880" i="9"/>
  <c r="L872" i="9"/>
  <c r="L864" i="9"/>
  <c r="L856" i="9"/>
  <c r="L848" i="9"/>
  <c r="L840" i="9"/>
  <c r="L995" i="9"/>
  <c r="L987" i="9"/>
  <c r="L979" i="9"/>
  <c r="L971" i="9"/>
  <c r="L963" i="9"/>
  <c r="L955" i="9"/>
  <c r="L947" i="9"/>
  <c r="L939" i="9"/>
  <c r="L931" i="9"/>
  <c r="L923" i="9"/>
  <c r="L915" i="9"/>
  <c r="L907" i="9"/>
  <c r="L899" i="9"/>
  <c r="L891" i="9"/>
  <c r="L883" i="9"/>
  <c r="L875" i="9"/>
  <c r="L867" i="9"/>
  <c r="L859" i="9"/>
  <c r="L851" i="9"/>
  <c r="L843" i="9"/>
  <c r="L835" i="9"/>
  <c r="L998" i="9"/>
  <c r="L990" i="9"/>
  <c r="L982" i="9"/>
  <c r="L974" i="9"/>
  <c r="L966" i="9"/>
  <c r="L958" i="9"/>
  <c r="L950" i="9"/>
  <c r="L942" i="9"/>
  <c r="L934" i="9"/>
  <c r="L926" i="9"/>
  <c r="L918" i="9"/>
  <c r="L910" i="9"/>
  <c r="L902" i="9"/>
  <c r="L894" i="9"/>
  <c r="L886" i="9"/>
  <c r="L878" i="9"/>
  <c r="L870" i="9"/>
  <c r="L862" i="9"/>
  <c r="L854" i="9"/>
  <c r="L846" i="9"/>
  <c r="L838" i="9"/>
  <c r="L837" i="9"/>
  <c r="L829" i="9"/>
  <c r="L821" i="9"/>
  <c r="L813" i="9"/>
  <c r="L805" i="9"/>
  <c r="L797" i="9"/>
  <c r="L789" i="9"/>
  <c r="L781" i="9"/>
  <c r="L773" i="9"/>
  <c r="L765" i="9"/>
  <c r="L757" i="9"/>
  <c r="L749" i="9"/>
  <c r="L741" i="9"/>
  <c r="L733" i="9"/>
  <c r="L1001" i="9"/>
  <c r="L985" i="9"/>
  <c r="L969" i="9"/>
  <c r="L953" i="9"/>
  <c r="L937" i="9"/>
  <c r="L921" i="9"/>
  <c r="L905" i="9"/>
  <c r="L889" i="9"/>
  <c r="L873" i="9"/>
  <c r="L857" i="9"/>
  <c r="L841" i="9"/>
  <c r="L832" i="9"/>
  <c r="L824" i="9"/>
  <c r="L816" i="9"/>
  <c r="L808" i="9"/>
  <c r="L800" i="9"/>
  <c r="L792" i="9"/>
  <c r="L784" i="9"/>
  <c r="L776" i="9"/>
  <c r="L768" i="9"/>
  <c r="L760" i="9"/>
  <c r="L752" i="9"/>
  <c r="L744" i="9"/>
  <c r="L736" i="9"/>
  <c r="L827" i="9"/>
  <c r="L819" i="9"/>
  <c r="L811" i="9"/>
  <c r="L803" i="9"/>
  <c r="L795" i="9"/>
  <c r="L787" i="9"/>
  <c r="L779" i="9"/>
  <c r="L771" i="9"/>
  <c r="L763" i="9"/>
  <c r="L755" i="9"/>
  <c r="L747" i="9"/>
  <c r="L830" i="9"/>
  <c r="L822" i="9"/>
  <c r="L814" i="9"/>
  <c r="L806" i="9"/>
  <c r="L798" i="9"/>
  <c r="L790" i="9"/>
  <c r="L782" i="9"/>
  <c r="L774" i="9"/>
  <c r="L833" i="9"/>
  <c r="L825" i="9"/>
  <c r="L817" i="9"/>
  <c r="L809" i="9"/>
  <c r="L801" i="9"/>
  <c r="L793" i="9"/>
  <c r="L785" i="9"/>
  <c r="L777" i="9"/>
  <c r="L769" i="9"/>
  <c r="L761" i="9"/>
  <c r="L753" i="9"/>
  <c r="L745" i="9"/>
  <c r="L737" i="9"/>
  <c r="L831" i="9"/>
  <c r="L823" i="9"/>
  <c r="L815" i="9"/>
  <c r="L807" i="9"/>
  <c r="L799" i="9"/>
  <c r="L791" i="9"/>
  <c r="L783" i="9"/>
  <c r="L775" i="9"/>
  <c r="L767" i="9"/>
  <c r="L759" i="9"/>
  <c r="L834" i="9"/>
  <c r="L826" i="9"/>
  <c r="L818" i="9"/>
  <c r="L810" i="9"/>
  <c r="L820" i="9"/>
  <c r="L766" i="9"/>
  <c r="L732" i="9"/>
  <c r="L722" i="9"/>
  <c r="L714" i="9"/>
  <c r="L706" i="9"/>
  <c r="L698" i="9"/>
  <c r="L690" i="9"/>
  <c r="L682" i="9"/>
  <c r="L674" i="9"/>
  <c r="L666" i="9"/>
  <c r="L658" i="9"/>
  <c r="L650" i="9"/>
  <c r="L642" i="9"/>
  <c r="L634" i="9"/>
  <c r="L626" i="9"/>
  <c r="L618" i="9"/>
  <c r="L610" i="9"/>
  <c r="L602" i="9"/>
  <c r="L594" i="9"/>
  <c r="L586" i="9"/>
  <c r="L993" i="9"/>
  <c r="L929" i="9"/>
  <c r="L865" i="9"/>
  <c r="L756" i="9"/>
  <c r="L750" i="9"/>
  <c r="L742" i="9"/>
  <c r="L730" i="9"/>
  <c r="L725" i="9"/>
  <c r="L717" i="9"/>
  <c r="L709" i="9"/>
  <c r="L701" i="9"/>
  <c r="L693" i="9"/>
  <c r="L685" i="9"/>
  <c r="L677" i="9"/>
  <c r="L669" i="9"/>
  <c r="L661" i="9"/>
  <c r="L653" i="9"/>
  <c r="L645" i="9"/>
  <c r="L637" i="9"/>
  <c r="L629" i="9"/>
  <c r="L621" i="9"/>
  <c r="L613" i="9"/>
  <c r="L605" i="9"/>
  <c r="L597" i="9"/>
  <c r="L589" i="9"/>
  <c r="L762" i="9"/>
  <c r="L739" i="9"/>
  <c r="L735" i="9"/>
  <c r="L728" i="9"/>
  <c r="L720" i="9"/>
  <c r="L712" i="9"/>
  <c r="L704" i="9"/>
  <c r="L696" i="9"/>
  <c r="L688" i="9"/>
  <c r="L680" i="9"/>
  <c r="L672" i="9"/>
  <c r="L664" i="9"/>
  <c r="L656" i="9"/>
  <c r="L648" i="9"/>
  <c r="L640" i="9"/>
  <c r="L632" i="9"/>
  <c r="L624" i="9"/>
  <c r="L977" i="9"/>
  <c r="L913" i="9"/>
  <c r="L849" i="9"/>
  <c r="L804" i="9"/>
  <c r="L796" i="9"/>
  <c r="L788" i="9"/>
  <c r="L780" i="9"/>
  <c r="L772" i="9"/>
  <c r="L723" i="9"/>
  <c r="L715" i="9"/>
  <c r="L707" i="9"/>
  <c r="L699" i="9"/>
  <c r="L691" i="9"/>
  <c r="L683" i="9"/>
  <c r="L675" i="9"/>
  <c r="L667" i="9"/>
  <c r="L659" i="9"/>
  <c r="L651" i="9"/>
  <c r="L643" i="9"/>
  <c r="L635" i="9"/>
  <c r="L627" i="9"/>
  <c r="L828" i="9"/>
  <c r="L812" i="9"/>
  <c r="L758" i="9"/>
  <c r="L731" i="9"/>
  <c r="L726" i="9"/>
  <c r="L718" i="9"/>
  <c r="L710" i="9"/>
  <c r="L702" i="9"/>
  <c r="L694" i="9"/>
  <c r="L686" i="9"/>
  <c r="L678" i="9"/>
  <c r="L670" i="9"/>
  <c r="L662" i="9"/>
  <c r="L654" i="9"/>
  <c r="L646" i="9"/>
  <c r="L638" i="9"/>
  <c r="L754" i="9"/>
  <c r="L751" i="9"/>
  <c r="L746" i="9"/>
  <c r="L743" i="9"/>
  <c r="L724" i="9"/>
  <c r="L716" i="9"/>
  <c r="L708" i="9"/>
  <c r="L700" i="9"/>
  <c r="L692" i="9"/>
  <c r="L684" i="9"/>
  <c r="L676" i="9"/>
  <c r="L668" i="9"/>
  <c r="L660" i="9"/>
  <c r="L652" i="9"/>
  <c r="L644" i="9"/>
  <c r="L636" i="9"/>
  <c r="L945" i="9"/>
  <c r="L881" i="9"/>
  <c r="L802" i="9"/>
  <c r="L794" i="9"/>
  <c r="L786" i="9"/>
  <c r="L778" i="9"/>
  <c r="L770" i="9"/>
  <c r="L748" i="9"/>
  <c r="L740" i="9"/>
  <c r="L738" i="9"/>
  <c r="L734" i="9"/>
  <c r="L727" i="9"/>
  <c r="L719" i="9"/>
  <c r="L711" i="9"/>
  <c r="L703" i="9"/>
  <c r="L695" i="9"/>
  <c r="L687" i="9"/>
  <c r="L679" i="9"/>
  <c r="L671" i="9"/>
  <c r="L663" i="9"/>
  <c r="L655" i="9"/>
  <c r="L647" i="9"/>
  <c r="L639" i="9"/>
  <c r="L631" i="9"/>
  <c r="L619" i="9"/>
  <c r="L617" i="9"/>
  <c r="L615" i="9"/>
  <c r="L611" i="9"/>
  <c r="L609" i="9"/>
  <c r="L607" i="9"/>
  <c r="L603" i="9"/>
  <c r="L601" i="9"/>
  <c r="L599" i="9"/>
  <c r="L595" i="9"/>
  <c r="L593" i="9"/>
  <c r="L591" i="9"/>
  <c r="L587" i="9"/>
  <c r="L585" i="9"/>
  <c r="L583" i="9"/>
  <c r="L578" i="9"/>
  <c r="L570" i="9"/>
  <c r="L562" i="9"/>
  <c r="L554" i="9"/>
  <c r="L546" i="9"/>
  <c r="L538" i="9"/>
  <c r="L530" i="9"/>
  <c r="L522" i="9"/>
  <c r="L514" i="9"/>
  <c r="L506" i="9"/>
  <c r="L498" i="9"/>
  <c r="L490" i="9"/>
  <c r="L482" i="9"/>
  <c r="L474" i="9"/>
  <c r="L466" i="9"/>
  <c r="L458" i="9"/>
  <c r="L450" i="9"/>
  <c r="L961" i="9"/>
  <c r="L623" i="9"/>
  <c r="L581" i="9"/>
  <c r="L573" i="9"/>
  <c r="L565" i="9"/>
  <c r="L557" i="9"/>
  <c r="L549" i="9"/>
  <c r="L541" i="9"/>
  <c r="L533" i="9"/>
  <c r="L525" i="9"/>
  <c r="L517" i="9"/>
  <c r="L509" i="9"/>
  <c r="L764" i="9"/>
  <c r="L628" i="9"/>
  <c r="L625" i="9"/>
  <c r="L576" i="9"/>
  <c r="L568" i="9"/>
  <c r="L560" i="9"/>
  <c r="L552" i="9"/>
  <c r="L544" i="9"/>
  <c r="L536" i="9"/>
  <c r="L528" i="9"/>
  <c r="L520" i="9"/>
  <c r="L512" i="9"/>
  <c r="L504" i="9"/>
  <c r="L897" i="9"/>
  <c r="L721" i="9"/>
  <c r="L705" i="9"/>
  <c r="L689" i="9"/>
  <c r="L673" i="9"/>
  <c r="L657" i="9"/>
  <c r="L641" i="9"/>
  <c r="L616" i="9"/>
  <c r="L608" i="9"/>
  <c r="L600" i="9"/>
  <c r="L592" i="9"/>
  <c r="L584" i="9"/>
  <c r="L579" i="9"/>
  <c r="L571" i="9"/>
  <c r="L563" i="9"/>
  <c r="L555" i="9"/>
  <c r="L547" i="9"/>
  <c r="L539" i="9"/>
  <c r="L531" i="9"/>
  <c r="L523" i="9"/>
  <c r="L515" i="9"/>
  <c r="L507" i="9"/>
  <c r="L499" i="9"/>
  <c r="L491" i="9"/>
  <c r="L630" i="9"/>
  <c r="L622" i="9"/>
  <c r="L620" i="9"/>
  <c r="L614" i="9"/>
  <c r="L612" i="9"/>
  <c r="L606" i="9"/>
  <c r="L604" i="9"/>
  <c r="L598" i="9"/>
  <c r="L596" i="9"/>
  <c r="L590" i="9"/>
  <c r="L588" i="9"/>
  <c r="L582" i="9"/>
  <c r="L574" i="9"/>
  <c r="L566" i="9"/>
  <c r="L558" i="9"/>
  <c r="L550" i="9"/>
  <c r="L542" i="9"/>
  <c r="L534" i="9"/>
  <c r="L526" i="9"/>
  <c r="L518" i="9"/>
  <c r="L510" i="9"/>
  <c r="L502" i="9"/>
  <c r="L494" i="9"/>
  <c r="L486" i="9"/>
  <c r="L577" i="9"/>
  <c r="L569" i="9"/>
  <c r="L561" i="9"/>
  <c r="L580" i="9"/>
  <c r="L572" i="9"/>
  <c r="L564" i="9"/>
  <c r="L556" i="9"/>
  <c r="L548" i="9"/>
  <c r="L540" i="9"/>
  <c r="L532" i="9"/>
  <c r="L524" i="9"/>
  <c r="L516" i="9"/>
  <c r="L681" i="9"/>
  <c r="L508" i="9"/>
  <c r="L505" i="9"/>
  <c r="L478" i="9"/>
  <c r="L471" i="9"/>
  <c r="L469" i="9"/>
  <c r="L462" i="9"/>
  <c r="L455" i="9"/>
  <c r="L453" i="9"/>
  <c r="L446" i="9"/>
  <c r="L441" i="9"/>
  <c r="L433" i="9"/>
  <c r="L425" i="9"/>
  <c r="L417" i="9"/>
  <c r="L409" i="9"/>
  <c r="L401" i="9"/>
  <c r="L393" i="9"/>
  <c r="L385" i="9"/>
  <c r="L377" i="9"/>
  <c r="L575" i="9"/>
  <c r="L559" i="9"/>
  <c r="L511" i="9"/>
  <c r="L497" i="9"/>
  <c r="L495" i="9"/>
  <c r="L488" i="9"/>
  <c r="L476" i="9"/>
  <c r="L460" i="9"/>
  <c r="L444" i="9"/>
  <c r="L436" i="9"/>
  <c r="L428" i="9"/>
  <c r="L420" i="9"/>
  <c r="L412" i="9"/>
  <c r="L404" i="9"/>
  <c r="L396" i="9"/>
  <c r="L388" i="9"/>
  <c r="L380" i="9"/>
  <c r="L372" i="9"/>
  <c r="L364" i="9"/>
  <c r="L356" i="9"/>
  <c r="L348" i="9"/>
  <c r="L729" i="9"/>
  <c r="L665" i="9"/>
  <c r="L467" i="9"/>
  <c r="L451" i="9"/>
  <c r="L439" i="9"/>
  <c r="L431" i="9"/>
  <c r="L423" i="9"/>
  <c r="L415" i="9"/>
  <c r="L407" i="9"/>
  <c r="L399" i="9"/>
  <c r="L391" i="9"/>
  <c r="L383" i="9"/>
  <c r="L375" i="9"/>
  <c r="L367" i="9"/>
  <c r="L553" i="9"/>
  <c r="L545" i="9"/>
  <c r="L537" i="9"/>
  <c r="L529" i="9"/>
  <c r="L521" i="9"/>
  <c r="L513" i="9"/>
  <c r="L492" i="9"/>
  <c r="L485" i="9"/>
  <c r="L481" i="9"/>
  <c r="L472" i="9"/>
  <c r="L465" i="9"/>
  <c r="L456" i="9"/>
  <c r="L449" i="9"/>
  <c r="L442" i="9"/>
  <c r="L434" i="9"/>
  <c r="L426" i="9"/>
  <c r="L418" i="9"/>
  <c r="L410" i="9"/>
  <c r="L402" i="9"/>
  <c r="L394" i="9"/>
  <c r="L386" i="9"/>
  <c r="L378" i="9"/>
  <c r="L370" i="9"/>
  <c r="L362" i="9"/>
  <c r="L713" i="9"/>
  <c r="L649" i="9"/>
  <c r="L501" i="9"/>
  <c r="L483" i="9"/>
  <c r="L479" i="9"/>
  <c r="L477" i="9"/>
  <c r="L470" i="9"/>
  <c r="L463" i="9"/>
  <c r="L461" i="9"/>
  <c r="L454" i="9"/>
  <c r="L447" i="9"/>
  <c r="L445" i="9"/>
  <c r="L437" i="9"/>
  <c r="L429" i="9"/>
  <c r="L421" i="9"/>
  <c r="L413" i="9"/>
  <c r="L405" i="9"/>
  <c r="L397" i="9"/>
  <c r="L389" i="9"/>
  <c r="L381" i="9"/>
  <c r="L373" i="9"/>
  <c r="L697" i="9"/>
  <c r="L633" i="9"/>
  <c r="L475" i="9"/>
  <c r="L459" i="9"/>
  <c r="L443" i="9"/>
  <c r="L435" i="9"/>
  <c r="L427" i="9"/>
  <c r="L419" i="9"/>
  <c r="L411" i="9"/>
  <c r="L403" i="9"/>
  <c r="L395" i="9"/>
  <c r="L387" i="9"/>
  <c r="L379" i="9"/>
  <c r="L551" i="9"/>
  <c r="L543" i="9"/>
  <c r="L535" i="9"/>
  <c r="L527" i="9"/>
  <c r="L519" i="9"/>
  <c r="L503" i="9"/>
  <c r="L500" i="9"/>
  <c r="L493" i="9"/>
  <c r="L484" i="9"/>
  <c r="L480" i="9"/>
  <c r="L473" i="9"/>
  <c r="L464" i="9"/>
  <c r="L457" i="9"/>
  <c r="L448" i="9"/>
  <c r="L438" i="9"/>
  <c r="L430" i="9"/>
  <c r="L422" i="9"/>
  <c r="L414" i="9"/>
  <c r="L406" i="9"/>
  <c r="L398" i="9"/>
  <c r="L390" i="9"/>
  <c r="L382" i="9"/>
  <c r="L374" i="9"/>
  <c r="L366" i="9"/>
  <c r="L354" i="9"/>
  <c r="L347" i="9"/>
  <c r="L340" i="9"/>
  <c r="L332" i="9"/>
  <c r="L324" i="9"/>
  <c r="L316" i="9"/>
  <c r="L308" i="9"/>
  <c r="L300" i="9"/>
  <c r="L292" i="9"/>
  <c r="L284" i="9"/>
  <c r="L276" i="9"/>
  <c r="L268" i="9"/>
  <c r="L260" i="9"/>
  <c r="L252" i="9"/>
  <c r="L244" i="9"/>
  <c r="L236" i="9"/>
  <c r="L228" i="9"/>
  <c r="L220" i="9"/>
  <c r="L212" i="9"/>
  <c r="L204" i="9"/>
  <c r="L196" i="9"/>
  <c r="L496" i="9"/>
  <c r="L489" i="9"/>
  <c r="L352" i="9"/>
  <c r="L345" i="9"/>
  <c r="L343" i="9"/>
  <c r="L335" i="9"/>
  <c r="L327" i="9"/>
  <c r="L319" i="9"/>
  <c r="L311" i="9"/>
  <c r="L303" i="9"/>
  <c r="L295" i="9"/>
  <c r="L287" i="9"/>
  <c r="L279" i="9"/>
  <c r="L271" i="9"/>
  <c r="L263" i="9"/>
  <c r="L255" i="9"/>
  <c r="L247" i="9"/>
  <c r="L239" i="9"/>
  <c r="L231" i="9"/>
  <c r="L223" i="9"/>
  <c r="L215" i="9"/>
  <c r="L207" i="9"/>
  <c r="L199" i="9"/>
  <c r="L452" i="9"/>
  <c r="L440" i="9"/>
  <c r="L424" i="9"/>
  <c r="L408" i="9"/>
  <c r="L392" i="9"/>
  <c r="L376" i="9"/>
  <c r="L369" i="9"/>
  <c r="L350" i="9"/>
  <c r="L338" i="9"/>
  <c r="L330" i="9"/>
  <c r="L322" i="9"/>
  <c r="L314" i="9"/>
  <c r="L306" i="9"/>
  <c r="L298" i="9"/>
  <c r="L290" i="9"/>
  <c r="L282" i="9"/>
  <c r="L274" i="9"/>
  <c r="L266" i="9"/>
  <c r="L258" i="9"/>
  <c r="L359" i="9"/>
  <c r="L357" i="9"/>
  <c r="L341" i="9"/>
  <c r="L333" i="9"/>
  <c r="L325" i="9"/>
  <c r="L317" i="9"/>
  <c r="L309" i="9"/>
  <c r="L301" i="9"/>
  <c r="L293" i="9"/>
  <c r="L285" i="9"/>
  <c r="L277" i="9"/>
  <c r="L269" i="9"/>
  <c r="L261" i="9"/>
  <c r="L253" i="9"/>
  <c r="L245" i="9"/>
  <c r="L237" i="9"/>
  <c r="L432" i="9"/>
  <c r="L416" i="9"/>
  <c r="L400" i="9"/>
  <c r="L384" i="9"/>
  <c r="L365" i="9"/>
  <c r="L342" i="9"/>
  <c r="L334" i="9"/>
  <c r="L326" i="9"/>
  <c r="L318" i="9"/>
  <c r="L310" i="9"/>
  <c r="L302" i="9"/>
  <c r="L294" i="9"/>
  <c r="L286" i="9"/>
  <c r="L278" i="9"/>
  <c r="L270" i="9"/>
  <c r="L262" i="9"/>
  <c r="L254" i="9"/>
  <c r="L246" i="9"/>
  <c r="L238" i="9"/>
  <c r="L230" i="9"/>
  <c r="L222" i="9"/>
  <c r="L567" i="9"/>
  <c r="L360" i="9"/>
  <c r="L358" i="9"/>
  <c r="L349" i="9"/>
  <c r="L337" i="9"/>
  <c r="L329" i="9"/>
  <c r="L321" i="9"/>
  <c r="L313" i="9"/>
  <c r="L305" i="9"/>
  <c r="L297" i="9"/>
  <c r="L289" i="9"/>
  <c r="L281" i="9"/>
  <c r="L273" i="9"/>
  <c r="L265" i="9"/>
  <c r="L257" i="9"/>
  <c r="L249" i="9"/>
  <c r="L241" i="9"/>
  <c r="L233" i="9"/>
  <c r="L225" i="9"/>
  <c r="L371" i="9"/>
  <c r="L361" i="9"/>
  <c r="L248" i="9"/>
  <c r="L232" i="9"/>
  <c r="L224" i="9"/>
  <c r="L186" i="9"/>
  <c r="L178" i="9"/>
  <c r="L170" i="9"/>
  <c r="L162" i="9"/>
  <c r="L154" i="9"/>
  <c r="L146" i="9"/>
  <c r="L138" i="9"/>
  <c r="L130" i="9"/>
  <c r="L122" i="9"/>
  <c r="L114" i="9"/>
  <c r="L106" i="9"/>
  <c r="L98" i="9"/>
  <c r="L90" i="9"/>
  <c r="L487" i="9"/>
  <c r="L355" i="9"/>
  <c r="L339" i="9"/>
  <c r="L331" i="9"/>
  <c r="L323" i="9"/>
  <c r="L315" i="9"/>
  <c r="L307" i="9"/>
  <c r="L299" i="9"/>
  <c r="L291" i="9"/>
  <c r="L283" i="9"/>
  <c r="L275" i="9"/>
  <c r="L267" i="9"/>
  <c r="L259" i="9"/>
  <c r="L251" i="9"/>
  <c r="L235" i="9"/>
  <c r="L229" i="9"/>
  <c r="L226" i="9"/>
  <c r="L221" i="9"/>
  <c r="L189" i="9"/>
  <c r="L181" i="9"/>
  <c r="L173" i="9"/>
  <c r="L165" i="9"/>
  <c r="L157" i="9"/>
  <c r="L149" i="9"/>
  <c r="L141" i="9"/>
  <c r="L133" i="9"/>
  <c r="L125" i="9"/>
  <c r="L117" i="9"/>
  <c r="L109" i="9"/>
  <c r="L351" i="9"/>
  <c r="L346" i="9"/>
  <c r="L218" i="9"/>
  <c r="L210" i="9"/>
  <c r="L202" i="9"/>
  <c r="L194" i="9"/>
  <c r="L184" i="9"/>
  <c r="L176" i="9"/>
  <c r="L168" i="9"/>
  <c r="L160" i="9"/>
  <c r="M160" i="9" s="1"/>
  <c r="N160" i="9" s="1"/>
  <c r="L152" i="9"/>
  <c r="L144" i="9"/>
  <c r="L136" i="9"/>
  <c r="L128" i="9"/>
  <c r="L120" i="9"/>
  <c r="L112" i="9"/>
  <c r="L250" i="9"/>
  <c r="L234" i="9"/>
  <c r="L216" i="9"/>
  <c r="L214" i="9"/>
  <c r="L208" i="9"/>
  <c r="L206" i="9"/>
  <c r="L200" i="9"/>
  <c r="L198" i="9"/>
  <c r="L192" i="9"/>
  <c r="L187" i="9"/>
  <c r="L179" i="9"/>
  <c r="L171" i="9"/>
  <c r="L240" i="9"/>
  <c r="L190" i="9"/>
  <c r="L182" i="9"/>
  <c r="L174" i="9"/>
  <c r="L166" i="9"/>
  <c r="L158" i="9"/>
  <c r="L468" i="9"/>
  <c r="L353" i="9"/>
  <c r="L336" i="9"/>
  <c r="L328" i="9"/>
  <c r="L320" i="9"/>
  <c r="L312" i="9"/>
  <c r="L304" i="9"/>
  <c r="L296" i="9"/>
  <c r="L288" i="9"/>
  <c r="L280" i="9"/>
  <c r="L272" i="9"/>
  <c r="L264" i="9"/>
  <c r="L256" i="9"/>
  <c r="L188" i="9"/>
  <c r="L180" i="9"/>
  <c r="L172" i="9"/>
  <c r="L164" i="9"/>
  <c r="L156" i="9"/>
  <c r="L344" i="9"/>
  <c r="L242" i="9"/>
  <c r="L227" i="9"/>
  <c r="L219" i="9"/>
  <c r="L217" i="9"/>
  <c r="L213" i="9"/>
  <c r="L211" i="9"/>
  <c r="L209" i="9"/>
  <c r="L205" i="9"/>
  <c r="L203" i="9"/>
  <c r="L201" i="9"/>
  <c r="L197" i="9"/>
  <c r="L195" i="9"/>
  <c r="L193" i="9"/>
  <c r="L191" i="9"/>
  <c r="L183" i="9"/>
  <c r="L175" i="9"/>
  <c r="L167" i="9"/>
  <c r="L159" i="9"/>
  <c r="L151" i="9"/>
  <c r="L143" i="9"/>
  <c r="L135" i="9"/>
  <c r="L127" i="9"/>
  <c r="L153" i="9"/>
  <c r="K7" i="9"/>
  <c r="K11" i="9"/>
  <c r="K15" i="9"/>
  <c r="K19" i="9"/>
  <c r="K22" i="9"/>
  <c r="L25" i="9"/>
  <c r="K30" i="9"/>
  <c r="L33" i="9"/>
  <c r="K38" i="9"/>
  <c r="L41" i="9"/>
  <c r="K46" i="9"/>
  <c r="L49" i="9"/>
  <c r="K54" i="9"/>
  <c r="L57" i="9"/>
  <c r="K62" i="9"/>
  <c r="L65" i="9"/>
  <c r="K70" i="9"/>
  <c r="L73" i="9"/>
  <c r="K78" i="9"/>
  <c r="L81" i="9"/>
  <c r="K86" i="9"/>
  <c r="L91" i="9"/>
  <c r="K100" i="9"/>
  <c r="K108" i="9"/>
  <c r="L110" i="9"/>
  <c r="L161" i="9"/>
  <c r="K269" i="9"/>
  <c r="K333" i="9"/>
  <c r="M333" i="9" s="1"/>
  <c r="N333" i="9" s="1"/>
  <c r="L368" i="9"/>
  <c r="L79" i="9"/>
  <c r="L87" i="9"/>
  <c r="L94" i="9"/>
  <c r="L137" i="9"/>
  <c r="L185" i="9"/>
  <c r="L7" i="9"/>
  <c r="L11" i="9"/>
  <c r="L15" i="9"/>
  <c r="L19" i="9"/>
  <c r="L22" i="9"/>
  <c r="K27" i="9"/>
  <c r="L30" i="9"/>
  <c r="K35" i="9"/>
  <c r="L38" i="9"/>
  <c r="K43" i="9"/>
  <c r="L46" i="9"/>
  <c r="K51" i="9"/>
  <c r="L54" i="9"/>
  <c r="K59" i="9"/>
  <c r="L62" i="9"/>
  <c r="K67" i="9"/>
  <c r="L70" i="9"/>
  <c r="K75" i="9"/>
  <c r="L78" i="9"/>
  <c r="K83" i="9"/>
  <c r="L86" i="9"/>
  <c r="K93" i="9"/>
  <c r="L100" i="9"/>
  <c r="K102" i="9"/>
  <c r="L108" i="9"/>
  <c r="K113" i="9"/>
  <c r="K115" i="9"/>
  <c r="K158" i="9"/>
  <c r="M158" i="9" s="1"/>
  <c r="N158" i="9" s="1"/>
  <c r="K166" i="9"/>
  <c r="K182" i="9"/>
  <c r="M182" i="9" s="1"/>
  <c r="N182" i="9" s="1"/>
  <c r="K237" i="9"/>
  <c r="M237" i="9" s="1"/>
  <c r="N237" i="9" s="1"/>
  <c r="L243" i="9"/>
  <c r="K277" i="9"/>
  <c r="M277" i="9" s="1"/>
  <c r="N277" i="9" s="1"/>
  <c r="K341" i="9"/>
  <c r="M341" i="9" s="1"/>
  <c r="N341" i="9" s="1"/>
  <c r="L23" i="9"/>
  <c r="L31" i="9"/>
  <c r="L55" i="9"/>
  <c r="L129" i="9"/>
  <c r="K6" i="9"/>
  <c r="K10" i="9"/>
  <c r="K14" i="9"/>
  <c r="K18" i="9"/>
  <c r="K21" i="9"/>
  <c r="K24" i="9"/>
  <c r="L27" i="9"/>
  <c r="K32" i="9"/>
  <c r="L35" i="9"/>
  <c r="K40" i="9"/>
  <c r="L43" i="9"/>
  <c r="K48" i="9"/>
  <c r="L51" i="9"/>
  <c r="K56" i="9"/>
  <c r="L59" i="9"/>
  <c r="K64" i="9"/>
  <c r="L67" i="9"/>
  <c r="K72" i="9"/>
  <c r="L75" i="9"/>
  <c r="K80" i="9"/>
  <c r="L83" i="9"/>
  <c r="K88" i="9"/>
  <c r="L93" i="9"/>
  <c r="L95" i="9"/>
  <c r="K97" i="9"/>
  <c r="L102" i="9"/>
  <c r="K104" i="9"/>
  <c r="L113" i="9"/>
  <c r="L115" i="9"/>
  <c r="L177" i="9"/>
  <c r="L363" i="9"/>
  <c r="K1001" i="9"/>
  <c r="M1001" i="9" s="1"/>
  <c r="N1001" i="9" s="1"/>
  <c r="K993" i="9"/>
  <c r="M993" i="9" s="1"/>
  <c r="N993" i="9" s="1"/>
  <c r="K985" i="9"/>
  <c r="K977" i="9"/>
  <c r="M977" i="9" s="1"/>
  <c r="N977" i="9" s="1"/>
  <c r="K969" i="9"/>
  <c r="M969" i="9" s="1"/>
  <c r="N969" i="9" s="1"/>
  <c r="K961" i="9"/>
  <c r="K953" i="9"/>
  <c r="K945" i="9"/>
  <c r="K937" i="9"/>
  <c r="M937" i="9" s="1"/>
  <c r="N937" i="9" s="1"/>
  <c r="K929" i="9"/>
  <c r="M929" i="9" s="1"/>
  <c r="N929" i="9" s="1"/>
  <c r="K921" i="9"/>
  <c r="K913" i="9"/>
  <c r="M913" i="9" s="1"/>
  <c r="N913" i="9" s="1"/>
  <c r="K905" i="9"/>
  <c r="M905" i="9" s="1"/>
  <c r="N905" i="9" s="1"/>
  <c r="K897" i="9"/>
  <c r="M897" i="9" s="1"/>
  <c r="N897" i="9" s="1"/>
  <c r="K889" i="9"/>
  <c r="K881" i="9"/>
  <c r="M881" i="9" s="1"/>
  <c r="N881" i="9" s="1"/>
  <c r="K873" i="9"/>
  <c r="M873" i="9" s="1"/>
  <c r="N873" i="9" s="1"/>
  <c r="K865" i="9"/>
  <c r="M865" i="9" s="1"/>
  <c r="N865" i="9" s="1"/>
  <c r="K857" i="9"/>
  <c r="K849" i="9"/>
  <c r="M849" i="9" s="1"/>
  <c r="N849" i="9" s="1"/>
  <c r="K841" i="9"/>
  <c r="M841" i="9" s="1"/>
  <c r="N841" i="9" s="1"/>
  <c r="K996" i="9"/>
  <c r="M996" i="9" s="1"/>
  <c r="N996" i="9" s="1"/>
  <c r="K988" i="9"/>
  <c r="K980" i="9"/>
  <c r="K972" i="9"/>
  <c r="M972" i="9" s="1"/>
  <c r="N972" i="9" s="1"/>
  <c r="K964" i="9"/>
  <c r="M964" i="9" s="1"/>
  <c r="N964" i="9" s="1"/>
  <c r="K956" i="9"/>
  <c r="M956" i="9" s="1"/>
  <c r="N956" i="9" s="1"/>
  <c r="K948" i="9"/>
  <c r="M948" i="9" s="1"/>
  <c r="N948" i="9" s="1"/>
  <c r="K940" i="9"/>
  <c r="M940" i="9" s="1"/>
  <c r="N940" i="9" s="1"/>
  <c r="K932" i="9"/>
  <c r="M932" i="9" s="1"/>
  <c r="N932" i="9" s="1"/>
  <c r="K924" i="9"/>
  <c r="K916" i="9"/>
  <c r="K908" i="9"/>
  <c r="M908" i="9" s="1"/>
  <c r="N908" i="9" s="1"/>
  <c r="K900" i="9"/>
  <c r="M900" i="9" s="1"/>
  <c r="N900" i="9" s="1"/>
  <c r="K892" i="9"/>
  <c r="M892" i="9" s="1"/>
  <c r="N892" i="9" s="1"/>
  <c r="K884" i="9"/>
  <c r="M884" i="9" s="1"/>
  <c r="N884" i="9" s="1"/>
  <c r="K876" i="9"/>
  <c r="M876" i="9" s="1"/>
  <c r="N876" i="9" s="1"/>
  <c r="K868" i="9"/>
  <c r="M868" i="9" s="1"/>
  <c r="N868" i="9" s="1"/>
  <c r="K860" i="9"/>
  <c r="M860" i="9" s="1"/>
  <c r="N860" i="9" s="1"/>
  <c r="K852" i="9"/>
  <c r="K844" i="9"/>
  <c r="M844" i="9" s="1"/>
  <c r="N844" i="9" s="1"/>
  <c r="K836" i="9"/>
  <c r="M836" i="9" s="1"/>
  <c r="N836" i="9" s="1"/>
  <c r="K999" i="9"/>
  <c r="M999" i="9" s="1"/>
  <c r="N999" i="9" s="1"/>
  <c r="K991" i="9"/>
  <c r="M991" i="9" s="1"/>
  <c r="N991" i="9" s="1"/>
  <c r="K983" i="9"/>
  <c r="M983" i="9" s="1"/>
  <c r="N983" i="9" s="1"/>
  <c r="K975" i="9"/>
  <c r="M975" i="9" s="1"/>
  <c r="N975" i="9" s="1"/>
  <c r="K967" i="9"/>
  <c r="M967" i="9" s="1"/>
  <c r="N967" i="9" s="1"/>
  <c r="K959" i="9"/>
  <c r="M959" i="9" s="1"/>
  <c r="N959" i="9" s="1"/>
  <c r="K951" i="9"/>
  <c r="M951" i="9" s="1"/>
  <c r="N951" i="9" s="1"/>
  <c r="K943" i="9"/>
  <c r="M943" i="9" s="1"/>
  <c r="N943" i="9" s="1"/>
  <c r="K935" i="9"/>
  <c r="M935" i="9" s="1"/>
  <c r="N935" i="9" s="1"/>
  <c r="K927" i="9"/>
  <c r="M927" i="9" s="1"/>
  <c r="N927" i="9" s="1"/>
  <c r="K919" i="9"/>
  <c r="M919" i="9" s="1"/>
  <c r="N919" i="9" s="1"/>
  <c r="K911" i="9"/>
  <c r="M911" i="9" s="1"/>
  <c r="N911" i="9" s="1"/>
  <c r="K903" i="9"/>
  <c r="M903" i="9" s="1"/>
  <c r="N903" i="9" s="1"/>
  <c r="K895" i="9"/>
  <c r="M895" i="9" s="1"/>
  <c r="N895" i="9" s="1"/>
  <c r="K887" i="9"/>
  <c r="M887" i="9" s="1"/>
  <c r="N887" i="9" s="1"/>
  <c r="K879" i="9"/>
  <c r="M879" i="9" s="1"/>
  <c r="N879" i="9" s="1"/>
  <c r="K871" i="9"/>
  <c r="M871" i="9" s="1"/>
  <c r="N871" i="9" s="1"/>
  <c r="K863" i="9"/>
  <c r="M863" i="9" s="1"/>
  <c r="N863" i="9" s="1"/>
  <c r="K855" i="9"/>
  <c r="M855" i="9" s="1"/>
  <c r="N855" i="9" s="1"/>
  <c r="K847" i="9"/>
  <c r="M847" i="9" s="1"/>
  <c r="N847" i="9" s="1"/>
  <c r="K839" i="9"/>
  <c r="M839" i="9" s="1"/>
  <c r="N839" i="9" s="1"/>
  <c r="K1002" i="9"/>
  <c r="M1002" i="9" s="1"/>
  <c r="N1002" i="9" s="1"/>
  <c r="K994" i="9"/>
  <c r="M994" i="9" s="1"/>
  <c r="N994" i="9" s="1"/>
  <c r="K986" i="9"/>
  <c r="M986" i="9" s="1"/>
  <c r="N986" i="9" s="1"/>
  <c r="K978" i="9"/>
  <c r="M978" i="9" s="1"/>
  <c r="N978" i="9" s="1"/>
  <c r="K970" i="9"/>
  <c r="M970" i="9" s="1"/>
  <c r="N970" i="9" s="1"/>
  <c r="K962" i="9"/>
  <c r="M962" i="9" s="1"/>
  <c r="N962" i="9" s="1"/>
  <c r="K954" i="9"/>
  <c r="M954" i="9" s="1"/>
  <c r="N954" i="9" s="1"/>
  <c r="K946" i="9"/>
  <c r="M946" i="9" s="1"/>
  <c r="N946" i="9" s="1"/>
  <c r="K938" i="9"/>
  <c r="M938" i="9" s="1"/>
  <c r="N938" i="9" s="1"/>
  <c r="K930" i="9"/>
  <c r="M930" i="9" s="1"/>
  <c r="N930" i="9" s="1"/>
  <c r="K922" i="9"/>
  <c r="K914" i="9"/>
  <c r="M914" i="9" s="1"/>
  <c r="N914" i="9" s="1"/>
  <c r="K906" i="9"/>
  <c r="M906" i="9" s="1"/>
  <c r="N906" i="9" s="1"/>
  <c r="K898" i="9"/>
  <c r="M898" i="9" s="1"/>
  <c r="N898" i="9" s="1"/>
  <c r="K890" i="9"/>
  <c r="M890" i="9" s="1"/>
  <c r="N890" i="9" s="1"/>
  <c r="K882" i="9"/>
  <c r="M882" i="9" s="1"/>
  <c r="N882" i="9" s="1"/>
  <c r="K874" i="9"/>
  <c r="M874" i="9" s="1"/>
  <c r="N874" i="9" s="1"/>
  <c r="K866" i="9"/>
  <c r="M866" i="9" s="1"/>
  <c r="N866" i="9" s="1"/>
  <c r="K858" i="9"/>
  <c r="M858" i="9" s="1"/>
  <c r="N858" i="9" s="1"/>
  <c r="K850" i="9"/>
  <c r="M850" i="9" s="1"/>
  <c r="N850" i="9" s="1"/>
  <c r="K842" i="9"/>
  <c r="M842" i="9" s="1"/>
  <c r="N842" i="9" s="1"/>
  <c r="K997" i="9"/>
  <c r="M997" i="9" s="1"/>
  <c r="N997" i="9" s="1"/>
  <c r="K989" i="9"/>
  <c r="M989" i="9" s="1"/>
  <c r="N989" i="9" s="1"/>
  <c r="K981" i="9"/>
  <c r="M981" i="9" s="1"/>
  <c r="N981" i="9" s="1"/>
  <c r="K973" i="9"/>
  <c r="M973" i="9" s="1"/>
  <c r="N973" i="9" s="1"/>
  <c r="K965" i="9"/>
  <c r="M965" i="9" s="1"/>
  <c r="N965" i="9" s="1"/>
  <c r="K957" i="9"/>
  <c r="K949" i="9"/>
  <c r="M949" i="9" s="1"/>
  <c r="N949" i="9" s="1"/>
  <c r="K941" i="9"/>
  <c r="M941" i="9" s="1"/>
  <c r="N941" i="9" s="1"/>
  <c r="K933" i="9"/>
  <c r="M933" i="9" s="1"/>
  <c r="N933" i="9" s="1"/>
  <c r="K925" i="9"/>
  <c r="M925" i="9" s="1"/>
  <c r="N925" i="9" s="1"/>
  <c r="K917" i="9"/>
  <c r="M917" i="9" s="1"/>
  <c r="N917" i="9" s="1"/>
  <c r="K909" i="9"/>
  <c r="M909" i="9" s="1"/>
  <c r="N909" i="9" s="1"/>
  <c r="K901" i="9"/>
  <c r="M901" i="9" s="1"/>
  <c r="N901" i="9" s="1"/>
  <c r="K893" i="9"/>
  <c r="M893" i="9" s="1"/>
  <c r="N893" i="9" s="1"/>
  <c r="K885" i="9"/>
  <c r="M885" i="9" s="1"/>
  <c r="N885" i="9" s="1"/>
  <c r="K877" i="9"/>
  <c r="M877" i="9" s="1"/>
  <c r="N877" i="9" s="1"/>
  <c r="K869" i="9"/>
  <c r="M869" i="9" s="1"/>
  <c r="N869" i="9" s="1"/>
  <c r="K861" i="9"/>
  <c r="M861" i="9" s="1"/>
  <c r="N861" i="9" s="1"/>
  <c r="K853" i="9"/>
  <c r="M853" i="9" s="1"/>
  <c r="N853" i="9" s="1"/>
  <c r="K845" i="9"/>
  <c r="M845" i="9" s="1"/>
  <c r="N845" i="9" s="1"/>
  <c r="K837" i="9"/>
  <c r="M837" i="9" s="1"/>
  <c r="N837" i="9" s="1"/>
  <c r="K1000" i="9"/>
  <c r="M1000" i="9" s="1"/>
  <c r="N1000" i="9" s="1"/>
  <c r="K992" i="9"/>
  <c r="M992" i="9" s="1"/>
  <c r="N992" i="9" s="1"/>
  <c r="K984" i="9"/>
  <c r="M984" i="9" s="1"/>
  <c r="N984" i="9" s="1"/>
  <c r="K976" i="9"/>
  <c r="M976" i="9" s="1"/>
  <c r="N976" i="9" s="1"/>
  <c r="K968" i="9"/>
  <c r="M968" i="9" s="1"/>
  <c r="N968" i="9" s="1"/>
  <c r="K960" i="9"/>
  <c r="M960" i="9" s="1"/>
  <c r="N960" i="9" s="1"/>
  <c r="K952" i="9"/>
  <c r="M952" i="9" s="1"/>
  <c r="N952" i="9" s="1"/>
  <c r="K944" i="9"/>
  <c r="M944" i="9" s="1"/>
  <c r="N944" i="9" s="1"/>
  <c r="K936" i="9"/>
  <c r="M936" i="9" s="1"/>
  <c r="N936" i="9" s="1"/>
  <c r="K928" i="9"/>
  <c r="M928" i="9" s="1"/>
  <c r="N928" i="9" s="1"/>
  <c r="K920" i="9"/>
  <c r="M920" i="9" s="1"/>
  <c r="N920" i="9" s="1"/>
  <c r="K912" i="9"/>
  <c r="M912" i="9" s="1"/>
  <c r="N912" i="9" s="1"/>
  <c r="K904" i="9"/>
  <c r="M904" i="9" s="1"/>
  <c r="N904" i="9" s="1"/>
  <c r="K896" i="9"/>
  <c r="M896" i="9" s="1"/>
  <c r="N896" i="9" s="1"/>
  <c r="K888" i="9"/>
  <c r="M888" i="9" s="1"/>
  <c r="N888" i="9" s="1"/>
  <c r="K880" i="9"/>
  <c r="K872" i="9"/>
  <c r="M872" i="9" s="1"/>
  <c r="N872" i="9" s="1"/>
  <c r="K864" i="9"/>
  <c r="M864" i="9" s="1"/>
  <c r="N864" i="9" s="1"/>
  <c r="K856" i="9"/>
  <c r="M856" i="9" s="1"/>
  <c r="N856" i="9" s="1"/>
  <c r="K848" i="9"/>
  <c r="M848" i="9" s="1"/>
  <c r="N848" i="9" s="1"/>
  <c r="K840" i="9"/>
  <c r="M840" i="9" s="1"/>
  <c r="N840" i="9" s="1"/>
  <c r="K995" i="9"/>
  <c r="M995" i="9" s="1"/>
  <c r="N995" i="9" s="1"/>
  <c r="K987" i="9"/>
  <c r="M987" i="9" s="1"/>
  <c r="N987" i="9" s="1"/>
  <c r="K979" i="9"/>
  <c r="M979" i="9" s="1"/>
  <c r="N979" i="9" s="1"/>
  <c r="K971" i="9"/>
  <c r="M971" i="9" s="1"/>
  <c r="N971" i="9" s="1"/>
  <c r="K963" i="9"/>
  <c r="M963" i="9" s="1"/>
  <c r="N963" i="9" s="1"/>
  <c r="K955" i="9"/>
  <c r="M955" i="9" s="1"/>
  <c r="N955" i="9" s="1"/>
  <c r="K947" i="9"/>
  <c r="M947" i="9" s="1"/>
  <c r="N947" i="9" s="1"/>
  <c r="K939" i="9"/>
  <c r="M939" i="9" s="1"/>
  <c r="N939" i="9" s="1"/>
  <c r="K931" i="9"/>
  <c r="M931" i="9" s="1"/>
  <c r="N931" i="9" s="1"/>
  <c r="K923" i="9"/>
  <c r="M923" i="9" s="1"/>
  <c r="N923" i="9" s="1"/>
  <c r="K915" i="9"/>
  <c r="M915" i="9" s="1"/>
  <c r="N915" i="9" s="1"/>
  <c r="K907" i="9"/>
  <c r="K899" i="9"/>
  <c r="M899" i="9" s="1"/>
  <c r="N899" i="9" s="1"/>
  <c r="K891" i="9"/>
  <c r="M891" i="9" s="1"/>
  <c r="N891" i="9" s="1"/>
  <c r="K883" i="9"/>
  <c r="M883" i="9" s="1"/>
  <c r="N883" i="9" s="1"/>
  <c r="K875" i="9"/>
  <c r="M875" i="9" s="1"/>
  <c r="N875" i="9" s="1"/>
  <c r="K867" i="9"/>
  <c r="M867" i="9" s="1"/>
  <c r="N867" i="9" s="1"/>
  <c r="K859" i="9"/>
  <c r="M859" i="9" s="1"/>
  <c r="N859" i="9" s="1"/>
  <c r="K851" i="9"/>
  <c r="M851" i="9" s="1"/>
  <c r="N851" i="9" s="1"/>
  <c r="K843" i="9"/>
  <c r="M843" i="9" s="1"/>
  <c r="N843" i="9" s="1"/>
  <c r="K835" i="9"/>
  <c r="M835" i="9" s="1"/>
  <c r="N835" i="9" s="1"/>
  <c r="K834" i="9"/>
  <c r="M834" i="9" s="1"/>
  <c r="N834" i="9" s="1"/>
  <c r="K826" i="9"/>
  <c r="M826" i="9" s="1"/>
  <c r="N826" i="9" s="1"/>
  <c r="K818" i="9"/>
  <c r="M818" i="9" s="1"/>
  <c r="N818" i="9" s="1"/>
  <c r="K810" i="9"/>
  <c r="M810" i="9" s="1"/>
  <c r="N810" i="9" s="1"/>
  <c r="K802" i="9"/>
  <c r="M802" i="9" s="1"/>
  <c r="N802" i="9" s="1"/>
  <c r="K794" i="9"/>
  <c r="M794" i="9" s="1"/>
  <c r="N794" i="9" s="1"/>
  <c r="K786" i="9"/>
  <c r="M786" i="9" s="1"/>
  <c r="N786" i="9" s="1"/>
  <c r="K778" i="9"/>
  <c r="M778" i="9" s="1"/>
  <c r="N778" i="9" s="1"/>
  <c r="K770" i="9"/>
  <c r="M770" i="9" s="1"/>
  <c r="N770" i="9" s="1"/>
  <c r="K762" i="9"/>
  <c r="M762" i="9" s="1"/>
  <c r="N762" i="9" s="1"/>
  <c r="K754" i="9"/>
  <c r="K746" i="9"/>
  <c r="M746" i="9" s="1"/>
  <c r="N746" i="9" s="1"/>
  <c r="K738" i="9"/>
  <c r="M738" i="9" s="1"/>
  <c r="N738" i="9" s="1"/>
  <c r="K730" i="9"/>
  <c r="M730" i="9" s="1"/>
  <c r="N730" i="9" s="1"/>
  <c r="K829" i="9"/>
  <c r="M829" i="9" s="1"/>
  <c r="N829" i="9" s="1"/>
  <c r="K821" i="9"/>
  <c r="M821" i="9" s="1"/>
  <c r="N821" i="9" s="1"/>
  <c r="K813" i="9"/>
  <c r="M813" i="9" s="1"/>
  <c r="N813" i="9" s="1"/>
  <c r="K805" i="9"/>
  <c r="M805" i="9" s="1"/>
  <c r="N805" i="9" s="1"/>
  <c r="K797" i="9"/>
  <c r="M797" i="9" s="1"/>
  <c r="N797" i="9" s="1"/>
  <c r="K789" i="9"/>
  <c r="M789" i="9" s="1"/>
  <c r="N789" i="9" s="1"/>
  <c r="K781" i="9"/>
  <c r="M781" i="9" s="1"/>
  <c r="N781" i="9" s="1"/>
  <c r="K773" i="9"/>
  <c r="K765" i="9"/>
  <c r="M765" i="9" s="1"/>
  <c r="N765" i="9" s="1"/>
  <c r="K757" i="9"/>
  <c r="M757" i="9" s="1"/>
  <c r="N757" i="9" s="1"/>
  <c r="K749" i="9"/>
  <c r="M749" i="9" s="1"/>
  <c r="N749" i="9" s="1"/>
  <c r="K741" i="9"/>
  <c r="M741" i="9" s="1"/>
  <c r="N741" i="9" s="1"/>
  <c r="K990" i="9"/>
  <c r="M990" i="9" s="1"/>
  <c r="N990" i="9" s="1"/>
  <c r="K974" i="9"/>
  <c r="M974" i="9" s="1"/>
  <c r="N974" i="9" s="1"/>
  <c r="K958" i="9"/>
  <c r="M958" i="9" s="1"/>
  <c r="N958" i="9" s="1"/>
  <c r="K942" i="9"/>
  <c r="M942" i="9" s="1"/>
  <c r="N942" i="9" s="1"/>
  <c r="K926" i="9"/>
  <c r="M926" i="9" s="1"/>
  <c r="N926" i="9" s="1"/>
  <c r="K910" i="9"/>
  <c r="M910" i="9" s="1"/>
  <c r="N910" i="9" s="1"/>
  <c r="K894" i="9"/>
  <c r="K878" i="9"/>
  <c r="M878" i="9" s="1"/>
  <c r="N878" i="9" s="1"/>
  <c r="K862" i="9"/>
  <c r="M862" i="9" s="1"/>
  <c r="N862" i="9" s="1"/>
  <c r="K846" i="9"/>
  <c r="M846" i="9" s="1"/>
  <c r="N846" i="9" s="1"/>
  <c r="K832" i="9"/>
  <c r="M832" i="9" s="1"/>
  <c r="N832" i="9" s="1"/>
  <c r="K824" i="9"/>
  <c r="M824" i="9" s="1"/>
  <c r="N824" i="9" s="1"/>
  <c r="K816" i="9"/>
  <c r="M816" i="9" s="1"/>
  <c r="N816" i="9" s="1"/>
  <c r="K808" i="9"/>
  <c r="M808" i="9" s="1"/>
  <c r="N808" i="9" s="1"/>
  <c r="K800" i="9"/>
  <c r="M800" i="9" s="1"/>
  <c r="N800" i="9" s="1"/>
  <c r="K792" i="9"/>
  <c r="M792" i="9" s="1"/>
  <c r="N792" i="9" s="1"/>
  <c r="K784" i="9"/>
  <c r="M784" i="9" s="1"/>
  <c r="N784" i="9" s="1"/>
  <c r="K776" i="9"/>
  <c r="M776" i="9" s="1"/>
  <c r="N776" i="9" s="1"/>
  <c r="K768" i="9"/>
  <c r="M768" i="9" s="1"/>
  <c r="N768" i="9" s="1"/>
  <c r="K760" i="9"/>
  <c r="M760" i="9" s="1"/>
  <c r="N760" i="9" s="1"/>
  <c r="K752" i="9"/>
  <c r="M752" i="9" s="1"/>
  <c r="N752" i="9" s="1"/>
  <c r="K744" i="9"/>
  <c r="M744" i="9" s="1"/>
  <c r="N744" i="9" s="1"/>
  <c r="K827" i="9"/>
  <c r="M827" i="9" s="1"/>
  <c r="N827" i="9" s="1"/>
  <c r="K819" i="9"/>
  <c r="M819" i="9" s="1"/>
  <c r="N819" i="9" s="1"/>
  <c r="K811" i="9"/>
  <c r="M811" i="9" s="1"/>
  <c r="N811" i="9" s="1"/>
  <c r="K803" i="9"/>
  <c r="M803" i="9" s="1"/>
  <c r="N803" i="9" s="1"/>
  <c r="K795" i="9"/>
  <c r="M795" i="9" s="1"/>
  <c r="N795" i="9" s="1"/>
  <c r="K787" i="9"/>
  <c r="M787" i="9" s="1"/>
  <c r="N787" i="9" s="1"/>
  <c r="K779" i="9"/>
  <c r="M779" i="9" s="1"/>
  <c r="N779" i="9" s="1"/>
  <c r="K771" i="9"/>
  <c r="M771" i="9" s="1"/>
  <c r="N771" i="9" s="1"/>
  <c r="K830" i="9"/>
  <c r="M830" i="9" s="1"/>
  <c r="N830" i="9" s="1"/>
  <c r="K822" i="9"/>
  <c r="M822" i="9" s="1"/>
  <c r="N822" i="9" s="1"/>
  <c r="K814" i="9"/>
  <c r="M814" i="9" s="1"/>
  <c r="N814" i="9" s="1"/>
  <c r="K806" i="9"/>
  <c r="M806" i="9" s="1"/>
  <c r="N806" i="9" s="1"/>
  <c r="K798" i="9"/>
  <c r="M798" i="9" s="1"/>
  <c r="N798" i="9" s="1"/>
  <c r="K790" i="9"/>
  <c r="M790" i="9" s="1"/>
  <c r="N790" i="9" s="1"/>
  <c r="K782" i="9"/>
  <c r="M782" i="9" s="1"/>
  <c r="N782" i="9" s="1"/>
  <c r="K774" i="9"/>
  <c r="M774" i="9" s="1"/>
  <c r="N774" i="9" s="1"/>
  <c r="K766" i="9"/>
  <c r="M766" i="9" s="1"/>
  <c r="N766" i="9" s="1"/>
  <c r="K758" i="9"/>
  <c r="M758" i="9" s="1"/>
  <c r="N758" i="9" s="1"/>
  <c r="K750" i="9"/>
  <c r="M750" i="9" s="1"/>
  <c r="N750" i="9" s="1"/>
  <c r="K742" i="9"/>
  <c r="M742" i="9" s="1"/>
  <c r="N742" i="9" s="1"/>
  <c r="K998" i="9"/>
  <c r="M998" i="9" s="1"/>
  <c r="N998" i="9" s="1"/>
  <c r="K982" i="9"/>
  <c r="M982" i="9" s="1"/>
  <c r="N982" i="9" s="1"/>
  <c r="K966" i="9"/>
  <c r="M966" i="9" s="1"/>
  <c r="N966" i="9" s="1"/>
  <c r="K950" i="9"/>
  <c r="M950" i="9" s="1"/>
  <c r="N950" i="9" s="1"/>
  <c r="K934" i="9"/>
  <c r="M934" i="9" s="1"/>
  <c r="N934" i="9" s="1"/>
  <c r="K918" i="9"/>
  <c r="M918" i="9" s="1"/>
  <c r="N918" i="9" s="1"/>
  <c r="K902" i="9"/>
  <c r="M902" i="9" s="1"/>
  <c r="N902" i="9" s="1"/>
  <c r="K886" i="9"/>
  <c r="M886" i="9" s="1"/>
  <c r="N886" i="9" s="1"/>
  <c r="K870" i="9"/>
  <c r="M870" i="9" s="1"/>
  <c r="N870" i="9" s="1"/>
  <c r="K854" i="9"/>
  <c r="M854" i="9" s="1"/>
  <c r="N854" i="9" s="1"/>
  <c r="K838" i="9"/>
  <c r="M838" i="9" s="1"/>
  <c r="N838" i="9" s="1"/>
  <c r="K828" i="9"/>
  <c r="M828" i="9" s="1"/>
  <c r="N828" i="9" s="1"/>
  <c r="K820" i="9"/>
  <c r="M820" i="9" s="1"/>
  <c r="N820" i="9" s="1"/>
  <c r="K812" i="9"/>
  <c r="M812" i="9" s="1"/>
  <c r="N812" i="9" s="1"/>
  <c r="K804" i="9"/>
  <c r="M804" i="9" s="1"/>
  <c r="N804" i="9" s="1"/>
  <c r="K796" i="9"/>
  <c r="M796" i="9" s="1"/>
  <c r="N796" i="9" s="1"/>
  <c r="K788" i="9"/>
  <c r="M788" i="9" s="1"/>
  <c r="N788" i="9" s="1"/>
  <c r="K780" i="9"/>
  <c r="M780" i="9" s="1"/>
  <c r="N780" i="9" s="1"/>
  <c r="K772" i="9"/>
  <c r="M772" i="9" s="1"/>
  <c r="N772" i="9" s="1"/>
  <c r="K764" i="9"/>
  <c r="M764" i="9" s="1"/>
  <c r="N764" i="9" s="1"/>
  <c r="K756" i="9"/>
  <c r="M756" i="9" s="1"/>
  <c r="N756" i="9" s="1"/>
  <c r="K831" i="9"/>
  <c r="M831" i="9" s="1"/>
  <c r="N831" i="9" s="1"/>
  <c r="K823" i="9"/>
  <c r="M823" i="9" s="1"/>
  <c r="N823" i="9" s="1"/>
  <c r="K815" i="9"/>
  <c r="K748" i="9"/>
  <c r="M748" i="9" s="1"/>
  <c r="N748" i="9" s="1"/>
  <c r="K740" i="9"/>
  <c r="M740" i="9" s="1"/>
  <c r="N740" i="9" s="1"/>
  <c r="K734" i="9"/>
  <c r="M734" i="9" s="1"/>
  <c r="N734" i="9" s="1"/>
  <c r="K727" i="9"/>
  <c r="M727" i="9" s="1"/>
  <c r="N727" i="9" s="1"/>
  <c r="K719" i="9"/>
  <c r="M719" i="9" s="1"/>
  <c r="N719" i="9" s="1"/>
  <c r="K711" i="9"/>
  <c r="M711" i="9" s="1"/>
  <c r="N711" i="9" s="1"/>
  <c r="K703" i="9"/>
  <c r="M703" i="9" s="1"/>
  <c r="N703" i="9" s="1"/>
  <c r="K695" i="9"/>
  <c r="M695" i="9" s="1"/>
  <c r="N695" i="9" s="1"/>
  <c r="K687" i="9"/>
  <c r="K679" i="9"/>
  <c r="M679" i="9" s="1"/>
  <c r="N679" i="9" s="1"/>
  <c r="K671" i="9"/>
  <c r="M671" i="9" s="1"/>
  <c r="N671" i="9" s="1"/>
  <c r="K663" i="9"/>
  <c r="M663" i="9" s="1"/>
  <c r="N663" i="9" s="1"/>
  <c r="K655" i="9"/>
  <c r="M655" i="9" s="1"/>
  <c r="N655" i="9" s="1"/>
  <c r="K647" i="9"/>
  <c r="M647" i="9" s="1"/>
  <c r="N647" i="9" s="1"/>
  <c r="K639" i="9"/>
  <c r="M639" i="9" s="1"/>
  <c r="N639" i="9" s="1"/>
  <c r="K631" i="9"/>
  <c r="M631" i="9" s="1"/>
  <c r="N631" i="9" s="1"/>
  <c r="K623" i="9"/>
  <c r="M623" i="9" s="1"/>
  <c r="N623" i="9" s="1"/>
  <c r="K615" i="9"/>
  <c r="M615" i="9" s="1"/>
  <c r="N615" i="9" s="1"/>
  <c r="K607" i="9"/>
  <c r="M607" i="9" s="1"/>
  <c r="N607" i="9" s="1"/>
  <c r="K599" i="9"/>
  <c r="K591" i="9"/>
  <c r="M591" i="9" s="1"/>
  <c r="N591" i="9" s="1"/>
  <c r="K583" i="9"/>
  <c r="M583" i="9" s="1"/>
  <c r="N583" i="9" s="1"/>
  <c r="K825" i="9"/>
  <c r="M825" i="9" s="1"/>
  <c r="N825" i="9" s="1"/>
  <c r="K809" i="9"/>
  <c r="M809" i="9" s="1"/>
  <c r="N809" i="9" s="1"/>
  <c r="K801" i="9"/>
  <c r="M801" i="9" s="1"/>
  <c r="N801" i="9" s="1"/>
  <c r="K793" i="9"/>
  <c r="M793" i="9" s="1"/>
  <c r="N793" i="9" s="1"/>
  <c r="K785" i="9"/>
  <c r="M785" i="9" s="1"/>
  <c r="N785" i="9" s="1"/>
  <c r="K777" i="9"/>
  <c r="K769" i="9"/>
  <c r="M769" i="9" s="1"/>
  <c r="N769" i="9" s="1"/>
  <c r="K753" i="9"/>
  <c r="M753" i="9" s="1"/>
  <c r="N753" i="9" s="1"/>
  <c r="K745" i="9"/>
  <c r="M745" i="9" s="1"/>
  <c r="N745" i="9" s="1"/>
  <c r="K732" i="9"/>
  <c r="M732" i="9" s="1"/>
  <c r="N732" i="9" s="1"/>
  <c r="K722" i="9"/>
  <c r="M722" i="9" s="1"/>
  <c r="N722" i="9" s="1"/>
  <c r="K714" i="9"/>
  <c r="K706" i="9"/>
  <c r="M706" i="9" s="1"/>
  <c r="N706" i="9" s="1"/>
  <c r="K698" i="9"/>
  <c r="M698" i="9" s="1"/>
  <c r="N698" i="9" s="1"/>
  <c r="K690" i="9"/>
  <c r="M690" i="9" s="1"/>
  <c r="N690" i="9" s="1"/>
  <c r="K682" i="9"/>
  <c r="M682" i="9" s="1"/>
  <c r="N682" i="9" s="1"/>
  <c r="K674" i="9"/>
  <c r="M674" i="9" s="1"/>
  <c r="N674" i="9" s="1"/>
  <c r="K666" i="9"/>
  <c r="M666" i="9" s="1"/>
  <c r="N666" i="9" s="1"/>
  <c r="K658" i="9"/>
  <c r="M658" i="9" s="1"/>
  <c r="N658" i="9" s="1"/>
  <c r="K650" i="9"/>
  <c r="M650" i="9" s="1"/>
  <c r="N650" i="9" s="1"/>
  <c r="K642" i="9"/>
  <c r="M642" i="9" s="1"/>
  <c r="N642" i="9" s="1"/>
  <c r="K634" i="9"/>
  <c r="M634" i="9" s="1"/>
  <c r="N634" i="9" s="1"/>
  <c r="K626" i="9"/>
  <c r="M626" i="9" s="1"/>
  <c r="N626" i="9" s="1"/>
  <c r="K618" i="9"/>
  <c r="M618" i="9" s="1"/>
  <c r="N618" i="9" s="1"/>
  <c r="K610" i="9"/>
  <c r="M610" i="9" s="1"/>
  <c r="N610" i="9" s="1"/>
  <c r="K602" i="9"/>
  <c r="M602" i="9" s="1"/>
  <c r="N602" i="9" s="1"/>
  <c r="K594" i="9"/>
  <c r="M594" i="9" s="1"/>
  <c r="N594" i="9" s="1"/>
  <c r="K586" i="9"/>
  <c r="M586" i="9" s="1"/>
  <c r="N586" i="9" s="1"/>
  <c r="K759" i="9"/>
  <c r="M759" i="9" s="1"/>
  <c r="N759" i="9" s="1"/>
  <c r="K747" i="9"/>
  <c r="M747" i="9" s="1"/>
  <c r="N747" i="9" s="1"/>
  <c r="K725" i="9"/>
  <c r="M725" i="9" s="1"/>
  <c r="N725" i="9" s="1"/>
  <c r="K717" i="9"/>
  <c r="M717" i="9" s="1"/>
  <c r="N717" i="9" s="1"/>
  <c r="K709" i="9"/>
  <c r="M709" i="9" s="1"/>
  <c r="N709" i="9" s="1"/>
  <c r="K701" i="9"/>
  <c r="M701" i="9" s="1"/>
  <c r="N701" i="9" s="1"/>
  <c r="K693" i="9"/>
  <c r="M693" i="9" s="1"/>
  <c r="N693" i="9" s="1"/>
  <c r="K685" i="9"/>
  <c r="M685" i="9" s="1"/>
  <c r="N685" i="9" s="1"/>
  <c r="K677" i="9"/>
  <c r="M677" i="9" s="1"/>
  <c r="N677" i="9" s="1"/>
  <c r="K669" i="9"/>
  <c r="M669" i="9" s="1"/>
  <c r="N669" i="9" s="1"/>
  <c r="K661" i="9"/>
  <c r="M661" i="9" s="1"/>
  <c r="N661" i="9" s="1"/>
  <c r="K653" i="9"/>
  <c r="M653" i="9" s="1"/>
  <c r="N653" i="9" s="1"/>
  <c r="K645" i="9"/>
  <c r="M645" i="9" s="1"/>
  <c r="N645" i="9" s="1"/>
  <c r="K637" i="9"/>
  <c r="M637" i="9" s="1"/>
  <c r="N637" i="9" s="1"/>
  <c r="K629" i="9"/>
  <c r="M629" i="9" s="1"/>
  <c r="N629" i="9" s="1"/>
  <c r="K755" i="9"/>
  <c r="M755" i="9" s="1"/>
  <c r="N755" i="9" s="1"/>
  <c r="K739" i="9"/>
  <c r="M739" i="9" s="1"/>
  <c r="N739" i="9" s="1"/>
  <c r="K737" i="9"/>
  <c r="M737" i="9" s="1"/>
  <c r="N737" i="9" s="1"/>
  <c r="K735" i="9"/>
  <c r="M735" i="9" s="1"/>
  <c r="N735" i="9" s="1"/>
  <c r="K728" i="9"/>
  <c r="M728" i="9" s="1"/>
  <c r="N728" i="9" s="1"/>
  <c r="K720" i="9"/>
  <c r="M720" i="9" s="1"/>
  <c r="N720" i="9" s="1"/>
  <c r="K712" i="9"/>
  <c r="M712" i="9" s="1"/>
  <c r="N712" i="9" s="1"/>
  <c r="K704" i="9"/>
  <c r="M704" i="9" s="1"/>
  <c r="N704" i="9" s="1"/>
  <c r="K696" i="9"/>
  <c r="M696" i="9" s="1"/>
  <c r="N696" i="9" s="1"/>
  <c r="K688" i="9"/>
  <c r="M688" i="9" s="1"/>
  <c r="N688" i="9" s="1"/>
  <c r="K680" i="9"/>
  <c r="M680" i="9" s="1"/>
  <c r="N680" i="9" s="1"/>
  <c r="K672" i="9"/>
  <c r="M672" i="9" s="1"/>
  <c r="N672" i="9" s="1"/>
  <c r="K664" i="9"/>
  <c r="M664" i="9" s="1"/>
  <c r="N664" i="9" s="1"/>
  <c r="K656" i="9"/>
  <c r="M656" i="9" s="1"/>
  <c r="N656" i="9" s="1"/>
  <c r="K648" i="9"/>
  <c r="M648" i="9" s="1"/>
  <c r="N648" i="9" s="1"/>
  <c r="K640" i="9"/>
  <c r="M640" i="9" s="1"/>
  <c r="N640" i="9" s="1"/>
  <c r="K632" i="9"/>
  <c r="M632" i="9" s="1"/>
  <c r="N632" i="9" s="1"/>
  <c r="K733" i="9"/>
  <c r="M733" i="9" s="1"/>
  <c r="N733" i="9" s="1"/>
  <c r="K723" i="9"/>
  <c r="M723" i="9" s="1"/>
  <c r="N723" i="9" s="1"/>
  <c r="K715" i="9"/>
  <c r="M715" i="9" s="1"/>
  <c r="N715" i="9" s="1"/>
  <c r="K707" i="9"/>
  <c r="M707" i="9" s="1"/>
  <c r="N707" i="9" s="1"/>
  <c r="K699" i="9"/>
  <c r="M699" i="9" s="1"/>
  <c r="N699" i="9" s="1"/>
  <c r="K691" i="9"/>
  <c r="M691" i="9" s="1"/>
  <c r="N691" i="9" s="1"/>
  <c r="K683" i="9"/>
  <c r="M683" i="9" s="1"/>
  <c r="N683" i="9" s="1"/>
  <c r="K675" i="9"/>
  <c r="M675" i="9" s="1"/>
  <c r="N675" i="9" s="1"/>
  <c r="K667" i="9"/>
  <c r="M667" i="9" s="1"/>
  <c r="N667" i="9" s="1"/>
  <c r="K659" i="9"/>
  <c r="M659" i="9" s="1"/>
  <c r="N659" i="9" s="1"/>
  <c r="K651" i="9"/>
  <c r="M651" i="9" s="1"/>
  <c r="N651" i="9" s="1"/>
  <c r="K643" i="9"/>
  <c r="M643" i="9" s="1"/>
  <c r="N643" i="9" s="1"/>
  <c r="K635" i="9"/>
  <c r="M635" i="9" s="1"/>
  <c r="N635" i="9" s="1"/>
  <c r="K807" i="9"/>
  <c r="M807" i="9" s="1"/>
  <c r="N807" i="9" s="1"/>
  <c r="K799" i="9"/>
  <c r="M799" i="9" s="1"/>
  <c r="N799" i="9" s="1"/>
  <c r="K791" i="9"/>
  <c r="M791" i="9" s="1"/>
  <c r="N791" i="9" s="1"/>
  <c r="K783" i="9"/>
  <c r="M783" i="9" s="1"/>
  <c r="N783" i="9" s="1"/>
  <c r="K775" i="9"/>
  <c r="M775" i="9" s="1"/>
  <c r="N775" i="9" s="1"/>
  <c r="K767" i="9"/>
  <c r="M767" i="9" s="1"/>
  <c r="N767" i="9" s="1"/>
  <c r="K736" i="9"/>
  <c r="M736" i="9" s="1"/>
  <c r="N736" i="9" s="1"/>
  <c r="K729" i="9"/>
  <c r="M729" i="9" s="1"/>
  <c r="N729" i="9" s="1"/>
  <c r="K721" i="9"/>
  <c r="M721" i="9" s="1"/>
  <c r="N721" i="9" s="1"/>
  <c r="K713" i="9"/>
  <c r="M713" i="9" s="1"/>
  <c r="N713" i="9" s="1"/>
  <c r="K705" i="9"/>
  <c r="M705" i="9" s="1"/>
  <c r="N705" i="9" s="1"/>
  <c r="K697" i="9"/>
  <c r="K689" i="9"/>
  <c r="M689" i="9" s="1"/>
  <c r="N689" i="9" s="1"/>
  <c r="K681" i="9"/>
  <c r="M681" i="9" s="1"/>
  <c r="N681" i="9" s="1"/>
  <c r="K673" i="9"/>
  <c r="M673" i="9" s="1"/>
  <c r="N673" i="9" s="1"/>
  <c r="K665" i="9"/>
  <c r="M665" i="9" s="1"/>
  <c r="N665" i="9" s="1"/>
  <c r="K657" i="9"/>
  <c r="M657" i="9" s="1"/>
  <c r="N657" i="9" s="1"/>
  <c r="K649" i="9"/>
  <c r="M649" i="9" s="1"/>
  <c r="N649" i="9" s="1"/>
  <c r="K641" i="9"/>
  <c r="M641" i="9" s="1"/>
  <c r="N641" i="9" s="1"/>
  <c r="K633" i="9"/>
  <c r="M633" i="9" s="1"/>
  <c r="N633" i="9" s="1"/>
  <c r="K763" i="9"/>
  <c r="M763" i="9" s="1"/>
  <c r="N763" i="9" s="1"/>
  <c r="K751" i="9"/>
  <c r="M751" i="9" s="1"/>
  <c r="N751" i="9" s="1"/>
  <c r="K743" i="9"/>
  <c r="M743" i="9" s="1"/>
  <c r="N743" i="9" s="1"/>
  <c r="K724" i="9"/>
  <c r="M724" i="9" s="1"/>
  <c r="N724" i="9" s="1"/>
  <c r="K716" i="9"/>
  <c r="M716" i="9" s="1"/>
  <c r="N716" i="9" s="1"/>
  <c r="K708" i="9"/>
  <c r="M708" i="9" s="1"/>
  <c r="N708" i="9" s="1"/>
  <c r="K700" i="9"/>
  <c r="M700" i="9" s="1"/>
  <c r="N700" i="9" s="1"/>
  <c r="K692" i="9"/>
  <c r="K684" i="9"/>
  <c r="M684" i="9" s="1"/>
  <c r="N684" i="9" s="1"/>
  <c r="K676" i="9"/>
  <c r="M676" i="9" s="1"/>
  <c r="N676" i="9" s="1"/>
  <c r="K668" i="9"/>
  <c r="M668" i="9" s="1"/>
  <c r="N668" i="9" s="1"/>
  <c r="K660" i="9"/>
  <c r="M660" i="9" s="1"/>
  <c r="N660" i="9" s="1"/>
  <c r="K652" i="9"/>
  <c r="M652" i="9" s="1"/>
  <c r="N652" i="9" s="1"/>
  <c r="K644" i="9"/>
  <c r="M644" i="9" s="1"/>
  <c r="N644" i="9" s="1"/>
  <c r="K636" i="9"/>
  <c r="M636" i="9" s="1"/>
  <c r="N636" i="9" s="1"/>
  <c r="K628" i="9"/>
  <c r="M628" i="9" s="1"/>
  <c r="N628" i="9" s="1"/>
  <c r="K718" i="9"/>
  <c r="M718" i="9" s="1"/>
  <c r="N718" i="9" s="1"/>
  <c r="K702" i="9"/>
  <c r="M702" i="9" s="1"/>
  <c r="N702" i="9" s="1"/>
  <c r="K686" i="9"/>
  <c r="M686" i="9" s="1"/>
  <c r="N686" i="9" s="1"/>
  <c r="K670" i="9"/>
  <c r="M670" i="9" s="1"/>
  <c r="N670" i="9" s="1"/>
  <c r="K654" i="9"/>
  <c r="M654" i="9" s="1"/>
  <c r="N654" i="9" s="1"/>
  <c r="K638" i="9"/>
  <c r="M638" i="9" s="1"/>
  <c r="N638" i="9" s="1"/>
  <c r="K621" i="9"/>
  <c r="M621" i="9" s="1"/>
  <c r="N621" i="9" s="1"/>
  <c r="K613" i="9"/>
  <c r="M613" i="9" s="1"/>
  <c r="N613" i="9" s="1"/>
  <c r="K605" i="9"/>
  <c r="M605" i="9" s="1"/>
  <c r="N605" i="9" s="1"/>
  <c r="K597" i="9"/>
  <c r="M597" i="9" s="1"/>
  <c r="N597" i="9" s="1"/>
  <c r="K589" i="9"/>
  <c r="M589" i="9" s="1"/>
  <c r="N589" i="9" s="1"/>
  <c r="K575" i="9"/>
  <c r="K567" i="9"/>
  <c r="M567" i="9" s="1"/>
  <c r="N567" i="9" s="1"/>
  <c r="K559" i="9"/>
  <c r="M559" i="9" s="1"/>
  <c r="N559" i="9" s="1"/>
  <c r="K551" i="9"/>
  <c r="M551" i="9" s="1"/>
  <c r="N551" i="9" s="1"/>
  <c r="K543" i="9"/>
  <c r="M543" i="9" s="1"/>
  <c r="N543" i="9" s="1"/>
  <c r="K535" i="9"/>
  <c r="M535" i="9" s="1"/>
  <c r="N535" i="9" s="1"/>
  <c r="K527" i="9"/>
  <c r="K519" i="9"/>
  <c r="M519" i="9" s="1"/>
  <c r="N519" i="9" s="1"/>
  <c r="K511" i="9"/>
  <c r="M511" i="9" s="1"/>
  <c r="N511" i="9" s="1"/>
  <c r="K503" i="9"/>
  <c r="M503" i="9" s="1"/>
  <c r="N503" i="9" s="1"/>
  <c r="K495" i="9"/>
  <c r="M495" i="9" s="1"/>
  <c r="N495" i="9" s="1"/>
  <c r="K487" i="9"/>
  <c r="M487" i="9" s="1"/>
  <c r="N487" i="9" s="1"/>
  <c r="K479" i="9"/>
  <c r="M479" i="9" s="1"/>
  <c r="N479" i="9" s="1"/>
  <c r="K471" i="9"/>
  <c r="M471" i="9" s="1"/>
  <c r="N471" i="9" s="1"/>
  <c r="K463" i="9"/>
  <c r="M463" i="9" s="1"/>
  <c r="N463" i="9" s="1"/>
  <c r="K455" i="9"/>
  <c r="M455" i="9" s="1"/>
  <c r="N455" i="9" s="1"/>
  <c r="K447" i="9"/>
  <c r="M447" i="9" s="1"/>
  <c r="N447" i="9" s="1"/>
  <c r="K619" i="9"/>
  <c r="K617" i="9"/>
  <c r="M617" i="9" s="1"/>
  <c r="N617" i="9" s="1"/>
  <c r="K611" i="9"/>
  <c r="M611" i="9" s="1"/>
  <c r="N611" i="9" s="1"/>
  <c r="K609" i="9"/>
  <c r="M609" i="9" s="1"/>
  <c r="N609" i="9" s="1"/>
  <c r="K603" i="9"/>
  <c r="M603" i="9" s="1"/>
  <c r="N603" i="9" s="1"/>
  <c r="K601" i="9"/>
  <c r="M601" i="9" s="1"/>
  <c r="N601" i="9" s="1"/>
  <c r="K595" i="9"/>
  <c r="M595" i="9" s="1"/>
  <c r="N595" i="9" s="1"/>
  <c r="K593" i="9"/>
  <c r="M593" i="9" s="1"/>
  <c r="N593" i="9" s="1"/>
  <c r="K587" i="9"/>
  <c r="M587" i="9" s="1"/>
  <c r="N587" i="9" s="1"/>
  <c r="K585" i="9"/>
  <c r="M585" i="9" s="1"/>
  <c r="N585" i="9" s="1"/>
  <c r="K578" i="9"/>
  <c r="M578" i="9" s="1"/>
  <c r="N578" i="9" s="1"/>
  <c r="K570" i="9"/>
  <c r="K562" i="9"/>
  <c r="M562" i="9" s="1"/>
  <c r="N562" i="9" s="1"/>
  <c r="K554" i="9"/>
  <c r="M554" i="9" s="1"/>
  <c r="N554" i="9" s="1"/>
  <c r="K546" i="9"/>
  <c r="M546" i="9" s="1"/>
  <c r="N546" i="9" s="1"/>
  <c r="K538" i="9"/>
  <c r="M538" i="9" s="1"/>
  <c r="N538" i="9" s="1"/>
  <c r="K530" i="9"/>
  <c r="M530" i="9" s="1"/>
  <c r="N530" i="9" s="1"/>
  <c r="K522" i="9"/>
  <c r="M522" i="9" s="1"/>
  <c r="N522" i="9" s="1"/>
  <c r="K514" i="9"/>
  <c r="M514" i="9" s="1"/>
  <c r="N514" i="9" s="1"/>
  <c r="K581" i="9"/>
  <c r="M581" i="9" s="1"/>
  <c r="N581" i="9" s="1"/>
  <c r="K573" i="9"/>
  <c r="M573" i="9" s="1"/>
  <c r="N573" i="9" s="1"/>
  <c r="K565" i="9"/>
  <c r="M565" i="9" s="1"/>
  <c r="N565" i="9" s="1"/>
  <c r="K557" i="9"/>
  <c r="M557" i="9" s="1"/>
  <c r="N557" i="9" s="1"/>
  <c r="K549" i="9"/>
  <c r="M549" i="9" s="1"/>
  <c r="N549" i="9" s="1"/>
  <c r="K541" i="9"/>
  <c r="M541" i="9" s="1"/>
  <c r="N541" i="9" s="1"/>
  <c r="K533" i="9"/>
  <c r="M533" i="9" s="1"/>
  <c r="N533" i="9" s="1"/>
  <c r="K525" i="9"/>
  <c r="M525" i="9" s="1"/>
  <c r="N525" i="9" s="1"/>
  <c r="K517" i="9"/>
  <c r="M517" i="9" s="1"/>
  <c r="N517" i="9" s="1"/>
  <c r="K509" i="9"/>
  <c r="M509" i="9" s="1"/>
  <c r="N509" i="9" s="1"/>
  <c r="K501" i="9"/>
  <c r="M501" i="9" s="1"/>
  <c r="N501" i="9" s="1"/>
  <c r="K625" i="9"/>
  <c r="M625" i="9" s="1"/>
  <c r="N625" i="9" s="1"/>
  <c r="K576" i="9"/>
  <c r="M576" i="9" s="1"/>
  <c r="N576" i="9" s="1"/>
  <c r="K568" i="9"/>
  <c r="K560" i="9"/>
  <c r="M560" i="9" s="1"/>
  <c r="N560" i="9" s="1"/>
  <c r="K552" i="9"/>
  <c r="M552" i="9" s="1"/>
  <c r="N552" i="9" s="1"/>
  <c r="K544" i="9"/>
  <c r="M544" i="9" s="1"/>
  <c r="N544" i="9" s="1"/>
  <c r="K536" i="9"/>
  <c r="M536" i="9" s="1"/>
  <c r="N536" i="9" s="1"/>
  <c r="K528" i="9"/>
  <c r="M528" i="9" s="1"/>
  <c r="N528" i="9" s="1"/>
  <c r="K520" i="9"/>
  <c r="M520" i="9" s="1"/>
  <c r="N520" i="9" s="1"/>
  <c r="K512" i="9"/>
  <c r="M512" i="9" s="1"/>
  <c r="N512" i="9" s="1"/>
  <c r="K504" i="9"/>
  <c r="K496" i="9"/>
  <c r="M496" i="9" s="1"/>
  <c r="N496" i="9" s="1"/>
  <c r="K488" i="9"/>
  <c r="M488" i="9" s="1"/>
  <c r="N488" i="9" s="1"/>
  <c r="K731" i="9"/>
  <c r="M731" i="9" s="1"/>
  <c r="N731" i="9" s="1"/>
  <c r="K726" i="9"/>
  <c r="M726" i="9" s="1"/>
  <c r="N726" i="9" s="1"/>
  <c r="K710" i="9"/>
  <c r="M710" i="9" s="1"/>
  <c r="N710" i="9" s="1"/>
  <c r="K694" i="9"/>
  <c r="M694" i="9" s="1"/>
  <c r="N694" i="9" s="1"/>
  <c r="K678" i="9"/>
  <c r="M678" i="9" s="1"/>
  <c r="N678" i="9" s="1"/>
  <c r="K662" i="9"/>
  <c r="M662" i="9" s="1"/>
  <c r="N662" i="9" s="1"/>
  <c r="K646" i="9"/>
  <c r="M646" i="9" s="1"/>
  <c r="N646" i="9" s="1"/>
  <c r="K627" i="9"/>
  <c r="M627" i="9" s="1"/>
  <c r="N627" i="9" s="1"/>
  <c r="K616" i="9"/>
  <c r="M616" i="9" s="1"/>
  <c r="N616" i="9" s="1"/>
  <c r="K608" i="9"/>
  <c r="M608" i="9" s="1"/>
  <c r="N608" i="9" s="1"/>
  <c r="K600" i="9"/>
  <c r="M600" i="9" s="1"/>
  <c r="N600" i="9" s="1"/>
  <c r="K592" i="9"/>
  <c r="M592" i="9" s="1"/>
  <c r="N592" i="9" s="1"/>
  <c r="K584" i="9"/>
  <c r="M584" i="9" s="1"/>
  <c r="N584" i="9" s="1"/>
  <c r="K579" i="9"/>
  <c r="M579" i="9" s="1"/>
  <c r="N579" i="9" s="1"/>
  <c r="K571" i="9"/>
  <c r="M571" i="9" s="1"/>
  <c r="N571" i="9" s="1"/>
  <c r="K563" i="9"/>
  <c r="M563" i="9" s="1"/>
  <c r="N563" i="9" s="1"/>
  <c r="K555" i="9"/>
  <c r="M555" i="9" s="1"/>
  <c r="N555" i="9" s="1"/>
  <c r="K547" i="9"/>
  <c r="M547" i="9" s="1"/>
  <c r="N547" i="9" s="1"/>
  <c r="K539" i="9"/>
  <c r="M539" i="9" s="1"/>
  <c r="N539" i="9" s="1"/>
  <c r="K531" i="9"/>
  <c r="M531" i="9" s="1"/>
  <c r="N531" i="9" s="1"/>
  <c r="K523" i="9"/>
  <c r="M523" i="9" s="1"/>
  <c r="N523" i="9" s="1"/>
  <c r="K515" i="9"/>
  <c r="M515" i="9" s="1"/>
  <c r="N515" i="9" s="1"/>
  <c r="K507" i="9"/>
  <c r="M507" i="9" s="1"/>
  <c r="N507" i="9" s="1"/>
  <c r="K499" i="9"/>
  <c r="M499" i="9" s="1"/>
  <c r="N499" i="9" s="1"/>
  <c r="K491" i="9"/>
  <c r="K483" i="9"/>
  <c r="M483" i="9" s="1"/>
  <c r="N483" i="9" s="1"/>
  <c r="K833" i="9"/>
  <c r="M833" i="9" s="1"/>
  <c r="N833" i="9" s="1"/>
  <c r="K630" i="9"/>
  <c r="M630" i="9" s="1"/>
  <c r="N630" i="9" s="1"/>
  <c r="K624" i="9"/>
  <c r="M624" i="9" s="1"/>
  <c r="N624" i="9" s="1"/>
  <c r="K622" i="9"/>
  <c r="M622" i="9" s="1"/>
  <c r="N622" i="9" s="1"/>
  <c r="K620" i="9"/>
  <c r="M620" i="9" s="1"/>
  <c r="N620" i="9" s="1"/>
  <c r="K614" i="9"/>
  <c r="M614" i="9" s="1"/>
  <c r="N614" i="9" s="1"/>
  <c r="K612" i="9"/>
  <c r="M612" i="9" s="1"/>
  <c r="N612" i="9" s="1"/>
  <c r="K606" i="9"/>
  <c r="M606" i="9" s="1"/>
  <c r="N606" i="9" s="1"/>
  <c r="K604" i="9"/>
  <c r="M604" i="9" s="1"/>
  <c r="N604" i="9" s="1"/>
  <c r="K598" i="9"/>
  <c r="M598" i="9" s="1"/>
  <c r="N598" i="9" s="1"/>
  <c r="K596" i="9"/>
  <c r="M596" i="9" s="1"/>
  <c r="N596" i="9" s="1"/>
  <c r="K590" i="9"/>
  <c r="M590" i="9" s="1"/>
  <c r="N590" i="9" s="1"/>
  <c r="K588" i="9"/>
  <c r="M588" i="9" s="1"/>
  <c r="N588" i="9" s="1"/>
  <c r="K582" i="9"/>
  <c r="M582" i="9" s="1"/>
  <c r="N582" i="9" s="1"/>
  <c r="K574" i="9"/>
  <c r="M574" i="9" s="1"/>
  <c r="N574" i="9" s="1"/>
  <c r="K566" i="9"/>
  <c r="M566" i="9" s="1"/>
  <c r="N566" i="9" s="1"/>
  <c r="K558" i="9"/>
  <c r="M558" i="9" s="1"/>
  <c r="N558" i="9" s="1"/>
  <c r="K817" i="9"/>
  <c r="M817" i="9" s="1"/>
  <c r="N817" i="9" s="1"/>
  <c r="K761" i="9"/>
  <c r="M761" i="9" s="1"/>
  <c r="N761" i="9" s="1"/>
  <c r="K577" i="9"/>
  <c r="M577" i="9" s="1"/>
  <c r="N577" i="9" s="1"/>
  <c r="K569" i="9"/>
  <c r="M569" i="9" s="1"/>
  <c r="N569" i="9" s="1"/>
  <c r="K561" i="9"/>
  <c r="M561" i="9" s="1"/>
  <c r="N561" i="9" s="1"/>
  <c r="K553" i="9"/>
  <c r="M553" i="9" s="1"/>
  <c r="N553" i="9" s="1"/>
  <c r="K545" i="9"/>
  <c r="M545" i="9" s="1"/>
  <c r="N545" i="9" s="1"/>
  <c r="K537" i="9"/>
  <c r="M537" i="9" s="1"/>
  <c r="N537" i="9" s="1"/>
  <c r="K529" i="9"/>
  <c r="M529" i="9" s="1"/>
  <c r="N529" i="9" s="1"/>
  <c r="K521" i="9"/>
  <c r="M521" i="9" s="1"/>
  <c r="N521" i="9" s="1"/>
  <c r="K500" i="9"/>
  <c r="M500" i="9" s="1"/>
  <c r="N500" i="9" s="1"/>
  <c r="K493" i="9"/>
  <c r="M493" i="9" s="1"/>
  <c r="N493" i="9" s="1"/>
  <c r="K486" i="9"/>
  <c r="M486" i="9" s="1"/>
  <c r="N486" i="9" s="1"/>
  <c r="K484" i="9"/>
  <c r="M484" i="9" s="1"/>
  <c r="N484" i="9" s="1"/>
  <c r="K482" i="9"/>
  <c r="M482" i="9" s="1"/>
  <c r="N482" i="9" s="1"/>
  <c r="K480" i="9"/>
  <c r="M480" i="9" s="1"/>
  <c r="N480" i="9" s="1"/>
  <c r="K473" i="9"/>
  <c r="M473" i="9" s="1"/>
  <c r="N473" i="9" s="1"/>
  <c r="K464" i="9"/>
  <c r="K457" i="9"/>
  <c r="M457" i="9" s="1"/>
  <c r="N457" i="9" s="1"/>
  <c r="K448" i="9"/>
  <c r="M448" i="9" s="1"/>
  <c r="N448" i="9" s="1"/>
  <c r="K438" i="9"/>
  <c r="M438" i="9" s="1"/>
  <c r="N438" i="9" s="1"/>
  <c r="K430" i="9"/>
  <c r="M430" i="9" s="1"/>
  <c r="N430" i="9" s="1"/>
  <c r="K422" i="9"/>
  <c r="M422" i="9" s="1"/>
  <c r="N422" i="9" s="1"/>
  <c r="K414" i="9"/>
  <c r="M414" i="9" s="1"/>
  <c r="N414" i="9" s="1"/>
  <c r="K406" i="9"/>
  <c r="M406" i="9" s="1"/>
  <c r="N406" i="9" s="1"/>
  <c r="K398" i="9"/>
  <c r="K390" i="9"/>
  <c r="M390" i="9" s="1"/>
  <c r="N390" i="9" s="1"/>
  <c r="K382" i="9"/>
  <c r="M382" i="9" s="1"/>
  <c r="N382" i="9" s="1"/>
  <c r="K374" i="9"/>
  <c r="M374" i="9" s="1"/>
  <c r="N374" i="9" s="1"/>
  <c r="K550" i="9"/>
  <c r="M550" i="9" s="1"/>
  <c r="N550" i="9" s="1"/>
  <c r="K542" i="9"/>
  <c r="M542" i="9" s="1"/>
  <c r="N542" i="9" s="1"/>
  <c r="K534" i="9"/>
  <c r="M534" i="9" s="1"/>
  <c r="N534" i="9" s="1"/>
  <c r="K526" i="9"/>
  <c r="M526" i="9" s="1"/>
  <c r="N526" i="9" s="1"/>
  <c r="K518" i="9"/>
  <c r="M518" i="9" s="1"/>
  <c r="N518" i="9" s="1"/>
  <c r="K508" i="9"/>
  <c r="M508" i="9" s="1"/>
  <c r="N508" i="9" s="1"/>
  <c r="K505" i="9"/>
  <c r="M505" i="9" s="1"/>
  <c r="N505" i="9" s="1"/>
  <c r="K502" i="9"/>
  <c r="M502" i="9" s="1"/>
  <c r="N502" i="9" s="1"/>
  <c r="K478" i="9"/>
  <c r="K469" i="9"/>
  <c r="M469" i="9" s="1"/>
  <c r="N469" i="9" s="1"/>
  <c r="K462" i="9"/>
  <c r="M462" i="9" s="1"/>
  <c r="N462" i="9" s="1"/>
  <c r="K453" i="9"/>
  <c r="M453" i="9" s="1"/>
  <c r="N453" i="9" s="1"/>
  <c r="K446" i="9"/>
  <c r="M446" i="9" s="1"/>
  <c r="N446" i="9" s="1"/>
  <c r="K441" i="9"/>
  <c r="M441" i="9" s="1"/>
  <c r="N441" i="9" s="1"/>
  <c r="K433" i="9"/>
  <c r="M433" i="9" s="1"/>
  <c r="N433" i="9" s="1"/>
  <c r="K425" i="9"/>
  <c r="M425" i="9" s="1"/>
  <c r="N425" i="9" s="1"/>
  <c r="K417" i="9"/>
  <c r="M417" i="9" s="1"/>
  <c r="N417" i="9" s="1"/>
  <c r="K409" i="9"/>
  <c r="M409" i="9" s="1"/>
  <c r="N409" i="9" s="1"/>
  <c r="K401" i="9"/>
  <c r="M401" i="9" s="1"/>
  <c r="N401" i="9" s="1"/>
  <c r="K393" i="9"/>
  <c r="M393" i="9" s="1"/>
  <c r="N393" i="9" s="1"/>
  <c r="K385" i="9"/>
  <c r="M385" i="9" s="1"/>
  <c r="N385" i="9" s="1"/>
  <c r="K377" i="9"/>
  <c r="M377" i="9" s="1"/>
  <c r="N377" i="9" s="1"/>
  <c r="K369" i="9"/>
  <c r="M369" i="9" s="1"/>
  <c r="N369" i="9" s="1"/>
  <c r="K361" i="9"/>
  <c r="M361" i="9" s="1"/>
  <c r="N361" i="9" s="1"/>
  <c r="K353" i="9"/>
  <c r="M353" i="9" s="1"/>
  <c r="N353" i="9" s="1"/>
  <c r="K345" i="9"/>
  <c r="M345" i="9" s="1"/>
  <c r="N345" i="9" s="1"/>
  <c r="K580" i="9"/>
  <c r="M580" i="9" s="1"/>
  <c r="N580" i="9" s="1"/>
  <c r="K564" i="9"/>
  <c r="M564" i="9" s="1"/>
  <c r="N564" i="9" s="1"/>
  <c r="K497" i="9"/>
  <c r="M497" i="9" s="1"/>
  <c r="N497" i="9" s="1"/>
  <c r="K476" i="9"/>
  <c r="M476" i="9" s="1"/>
  <c r="N476" i="9" s="1"/>
  <c r="K460" i="9"/>
  <c r="M460" i="9" s="1"/>
  <c r="N460" i="9" s="1"/>
  <c r="K444" i="9"/>
  <c r="K436" i="9"/>
  <c r="M436" i="9" s="1"/>
  <c r="N436" i="9" s="1"/>
  <c r="K428" i="9"/>
  <c r="M428" i="9" s="1"/>
  <c r="N428" i="9" s="1"/>
  <c r="K420" i="9"/>
  <c r="M420" i="9" s="1"/>
  <c r="N420" i="9" s="1"/>
  <c r="K412" i="9"/>
  <c r="M412" i="9" s="1"/>
  <c r="N412" i="9" s="1"/>
  <c r="K404" i="9"/>
  <c r="M404" i="9" s="1"/>
  <c r="N404" i="9" s="1"/>
  <c r="K396" i="9"/>
  <c r="M396" i="9" s="1"/>
  <c r="N396" i="9" s="1"/>
  <c r="K388" i="9"/>
  <c r="M388" i="9" s="1"/>
  <c r="N388" i="9" s="1"/>
  <c r="K380" i="9"/>
  <c r="K372" i="9"/>
  <c r="M372" i="9" s="1"/>
  <c r="N372" i="9" s="1"/>
  <c r="K364" i="9"/>
  <c r="M364" i="9" s="1"/>
  <c r="N364" i="9" s="1"/>
  <c r="K510" i="9"/>
  <c r="M510" i="9" s="1"/>
  <c r="N510" i="9" s="1"/>
  <c r="K490" i="9"/>
  <c r="M490" i="9" s="1"/>
  <c r="N490" i="9" s="1"/>
  <c r="K474" i="9"/>
  <c r="M474" i="9" s="1"/>
  <c r="N474" i="9" s="1"/>
  <c r="K467" i="9"/>
  <c r="M467" i="9" s="1"/>
  <c r="N467" i="9" s="1"/>
  <c r="K458" i="9"/>
  <c r="M458" i="9" s="1"/>
  <c r="N458" i="9" s="1"/>
  <c r="K451" i="9"/>
  <c r="M451" i="9" s="1"/>
  <c r="N451" i="9" s="1"/>
  <c r="K439" i="9"/>
  <c r="M439" i="9" s="1"/>
  <c r="N439" i="9" s="1"/>
  <c r="K431" i="9"/>
  <c r="M431" i="9" s="1"/>
  <c r="N431" i="9" s="1"/>
  <c r="K423" i="9"/>
  <c r="M423" i="9" s="1"/>
  <c r="N423" i="9" s="1"/>
  <c r="K415" i="9"/>
  <c r="M415" i="9" s="1"/>
  <c r="N415" i="9" s="1"/>
  <c r="K407" i="9"/>
  <c r="M407" i="9" s="1"/>
  <c r="N407" i="9" s="1"/>
  <c r="K399" i="9"/>
  <c r="M399" i="9" s="1"/>
  <c r="N399" i="9" s="1"/>
  <c r="K391" i="9"/>
  <c r="M391" i="9" s="1"/>
  <c r="N391" i="9" s="1"/>
  <c r="K383" i="9"/>
  <c r="M383" i="9" s="1"/>
  <c r="N383" i="9" s="1"/>
  <c r="K375" i="9"/>
  <c r="M375" i="9" s="1"/>
  <c r="N375" i="9" s="1"/>
  <c r="K367" i="9"/>
  <c r="M367" i="9" s="1"/>
  <c r="N367" i="9" s="1"/>
  <c r="K359" i="9"/>
  <c r="M359" i="9" s="1"/>
  <c r="N359" i="9" s="1"/>
  <c r="K513" i="9"/>
  <c r="M513" i="9" s="1"/>
  <c r="N513" i="9" s="1"/>
  <c r="K494" i="9"/>
  <c r="M494" i="9" s="1"/>
  <c r="N494" i="9" s="1"/>
  <c r="K492" i="9"/>
  <c r="M492" i="9" s="1"/>
  <c r="N492" i="9" s="1"/>
  <c r="K485" i="9"/>
  <c r="M485" i="9" s="1"/>
  <c r="N485" i="9" s="1"/>
  <c r="K481" i="9"/>
  <c r="M481" i="9" s="1"/>
  <c r="N481" i="9" s="1"/>
  <c r="K472" i="9"/>
  <c r="M472" i="9" s="1"/>
  <c r="N472" i="9" s="1"/>
  <c r="K465" i="9"/>
  <c r="M465" i="9" s="1"/>
  <c r="N465" i="9" s="1"/>
  <c r="K456" i="9"/>
  <c r="M456" i="9" s="1"/>
  <c r="N456" i="9" s="1"/>
  <c r="K449" i="9"/>
  <c r="M449" i="9" s="1"/>
  <c r="N449" i="9" s="1"/>
  <c r="K442" i="9"/>
  <c r="M442" i="9" s="1"/>
  <c r="N442" i="9" s="1"/>
  <c r="K434" i="9"/>
  <c r="M434" i="9" s="1"/>
  <c r="N434" i="9" s="1"/>
  <c r="K426" i="9"/>
  <c r="M426" i="9" s="1"/>
  <c r="N426" i="9" s="1"/>
  <c r="K418" i="9"/>
  <c r="M418" i="9" s="1"/>
  <c r="N418" i="9" s="1"/>
  <c r="K410" i="9"/>
  <c r="M410" i="9" s="1"/>
  <c r="N410" i="9" s="1"/>
  <c r="K402" i="9"/>
  <c r="M402" i="9" s="1"/>
  <c r="N402" i="9" s="1"/>
  <c r="K394" i="9"/>
  <c r="M394" i="9" s="1"/>
  <c r="N394" i="9" s="1"/>
  <c r="K386" i="9"/>
  <c r="M386" i="9" s="1"/>
  <c r="N386" i="9" s="1"/>
  <c r="K378" i="9"/>
  <c r="M378" i="9" s="1"/>
  <c r="N378" i="9" s="1"/>
  <c r="K572" i="9"/>
  <c r="M572" i="9" s="1"/>
  <c r="N572" i="9" s="1"/>
  <c r="K556" i="9"/>
  <c r="M556" i="9" s="1"/>
  <c r="N556" i="9" s="1"/>
  <c r="K548" i="9"/>
  <c r="K540" i="9"/>
  <c r="M540" i="9" s="1"/>
  <c r="N540" i="9" s="1"/>
  <c r="K532" i="9"/>
  <c r="M532" i="9" s="1"/>
  <c r="N532" i="9" s="1"/>
  <c r="K524" i="9"/>
  <c r="M524" i="9" s="1"/>
  <c r="N524" i="9" s="1"/>
  <c r="K516" i="9"/>
  <c r="M516" i="9" s="1"/>
  <c r="N516" i="9" s="1"/>
  <c r="K506" i="9"/>
  <c r="M506" i="9" s="1"/>
  <c r="N506" i="9" s="1"/>
  <c r="K489" i="9"/>
  <c r="M489" i="9" s="1"/>
  <c r="N489" i="9" s="1"/>
  <c r="K468" i="9"/>
  <c r="M468" i="9" s="1"/>
  <c r="N468" i="9" s="1"/>
  <c r="K452" i="9"/>
  <c r="M452" i="9" s="1"/>
  <c r="N452" i="9" s="1"/>
  <c r="K440" i="9"/>
  <c r="M440" i="9" s="1"/>
  <c r="N440" i="9" s="1"/>
  <c r="K432" i="9"/>
  <c r="M432" i="9" s="1"/>
  <c r="N432" i="9" s="1"/>
  <c r="K424" i="9"/>
  <c r="M424" i="9" s="1"/>
  <c r="N424" i="9" s="1"/>
  <c r="K416" i="9"/>
  <c r="M416" i="9" s="1"/>
  <c r="N416" i="9" s="1"/>
  <c r="K408" i="9"/>
  <c r="M408" i="9" s="1"/>
  <c r="N408" i="9" s="1"/>
  <c r="K400" i="9"/>
  <c r="M400" i="9" s="1"/>
  <c r="N400" i="9" s="1"/>
  <c r="K392" i="9"/>
  <c r="M392" i="9" s="1"/>
  <c r="N392" i="9" s="1"/>
  <c r="K384" i="9"/>
  <c r="M384" i="9" s="1"/>
  <c r="N384" i="9" s="1"/>
  <c r="K376" i="9"/>
  <c r="M376" i="9" s="1"/>
  <c r="N376" i="9" s="1"/>
  <c r="K498" i="9"/>
  <c r="M498" i="9" s="1"/>
  <c r="N498" i="9" s="1"/>
  <c r="K475" i="9"/>
  <c r="M475" i="9" s="1"/>
  <c r="N475" i="9" s="1"/>
  <c r="K466" i="9"/>
  <c r="M466" i="9" s="1"/>
  <c r="N466" i="9" s="1"/>
  <c r="K459" i="9"/>
  <c r="M459" i="9" s="1"/>
  <c r="N459" i="9" s="1"/>
  <c r="K450" i="9"/>
  <c r="M450" i="9" s="1"/>
  <c r="N450" i="9" s="1"/>
  <c r="K443" i="9"/>
  <c r="M443" i="9" s="1"/>
  <c r="N443" i="9" s="1"/>
  <c r="K435" i="9"/>
  <c r="M435" i="9" s="1"/>
  <c r="N435" i="9" s="1"/>
  <c r="K427" i="9"/>
  <c r="M427" i="9" s="1"/>
  <c r="N427" i="9" s="1"/>
  <c r="K419" i="9"/>
  <c r="M419" i="9" s="1"/>
  <c r="N419" i="9" s="1"/>
  <c r="K411" i="9"/>
  <c r="K403" i="9"/>
  <c r="M403" i="9" s="1"/>
  <c r="N403" i="9" s="1"/>
  <c r="K395" i="9"/>
  <c r="M395" i="9" s="1"/>
  <c r="N395" i="9" s="1"/>
  <c r="K387" i="9"/>
  <c r="M387" i="9" s="1"/>
  <c r="N387" i="9" s="1"/>
  <c r="K379" i="9"/>
  <c r="M379" i="9" s="1"/>
  <c r="N379" i="9" s="1"/>
  <c r="K371" i="9"/>
  <c r="M371" i="9" s="1"/>
  <c r="N371" i="9" s="1"/>
  <c r="K373" i="9"/>
  <c r="M373" i="9" s="1"/>
  <c r="N373" i="9" s="1"/>
  <c r="K362" i="9"/>
  <c r="M362" i="9" s="1"/>
  <c r="N362" i="9" s="1"/>
  <c r="K360" i="9"/>
  <c r="M360" i="9" s="1"/>
  <c r="N360" i="9" s="1"/>
  <c r="K358" i="9"/>
  <c r="M358" i="9" s="1"/>
  <c r="N358" i="9" s="1"/>
  <c r="K356" i="9"/>
  <c r="M356" i="9" s="1"/>
  <c r="N356" i="9" s="1"/>
  <c r="K349" i="9"/>
  <c r="M349" i="9" s="1"/>
  <c r="N349" i="9" s="1"/>
  <c r="K337" i="9"/>
  <c r="M337" i="9" s="1"/>
  <c r="N337" i="9" s="1"/>
  <c r="K329" i="9"/>
  <c r="M329" i="9" s="1"/>
  <c r="N329" i="9" s="1"/>
  <c r="K321" i="9"/>
  <c r="M321" i="9" s="1"/>
  <c r="N321" i="9" s="1"/>
  <c r="K313" i="9"/>
  <c r="K305" i="9"/>
  <c r="M305" i="9" s="1"/>
  <c r="N305" i="9" s="1"/>
  <c r="K297" i="9"/>
  <c r="M297" i="9" s="1"/>
  <c r="N297" i="9" s="1"/>
  <c r="K289" i="9"/>
  <c r="M289" i="9" s="1"/>
  <c r="N289" i="9" s="1"/>
  <c r="K281" i="9"/>
  <c r="M281" i="9" s="1"/>
  <c r="N281" i="9" s="1"/>
  <c r="K273" i="9"/>
  <c r="M273" i="9" s="1"/>
  <c r="N273" i="9" s="1"/>
  <c r="K265" i="9"/>
  <c r="M265" i="9" s="1"/>
  <c r="N265" i="9" s="1"/>
  <c r="K257" i="9"/>
  <c r="M257" i="9" s="1"/>
  <c r="N257" i="9" s="1"/>
  <c r="K249" i="9"/>
  <c r="K241" i="9"/>
  <c r="M241" i="9" s="1"/>
  <c r="N241" i="9" s="1"/>
  <c r="K233" i="9"/>
  <c r="M233" i="9" s="1"/>
  <c r="N233" i="9" s="1"/>
  <c r="K225" i="9"/>
  <c r="M225" i="9" s="1"/>
  <c r="N225" i="9" s="1"/>
  <c r="K217" i="9"/>
  <c r="M217" i="9" s="1"/>
  <c r="N217" i="9" s="1"/>
  <c r="K209" i="9"/>
  <c r="M209" i="9" s="1"/>
  <c r="N209" i="9" s="1"/>
  <c r="K201" i="9"/>
  <c r="M201" i="9" s="1"/>
  <c r="N201" i="9" s="1"/>
  <c r="K193" i="9"/>
  <c r="M193" i="9" s="1"/>
  <c r="N193" i="9" s="1"/>
  <c r="K470" i="9"/>
  <c r="M470" i="9" s="1"/>
  <c r="N470" i="9" s="1"/>
  <c r="K354" i="9"/>
  <c r="M354" i="9" s="1"/>
  <c r="N354" i="9" s="1"/>
  <c r="K347" i="9"/>
  <c r="M347" i="9" s="1"/>
  <c r="N347" i="9" s="1"/>
  <c r="K340" i="9"/>
  <c r="M340" i="9" s="1"/>
  <c r="N340" i="9" s="1"/>
  <c r="K332" i="9"/>
  <c r="M332" i="9" s="1"/>
  <c r="N332" i="9" s="1"/>
  <c r="K324" i="9"/>
  <c r="M324" i="9" s="1"/>
  <c r="N324" i="9" s="1"/>
  <c r="K316" i="9"/>
  <c r="M316" i="9" s="1"/>
  <c r="N316" i="9" s="1"/>
  <c r="K308" i="9"/>
  <c r="K300" i="9"/>
  <c r="M300" i="9" s="1"/>
  <c r="N300" i="9" s="1"/>
  <c r="K292" i="9"/>
  <c r="M292" i="9" s="1"/>
  <c r="N292" i="9" s="1"/>
  <c r="K284" i="9"/>
  <c r="M284" i="9" s="1"/>
  <c r="N284" i="9" s="1"/>
  <c r="K276" i="9"/>
  <c r="M276" i="9" s="1"/>
  <c r="N276" i="9" s="1"/>
  <c r="K268" i="9"/>
  <c r="M268" i="9" s="1"/>
  <c r="N268" i="9" s="1"/>
  <c r="K260" i="9"/>
  <c r="M260" i="9" s="1"/>
  <c r="N260" i="9" s="1"/>
  <c r="K252" i="9"/>
  <c r="M252" i="9" s="1"/>
  <c r="N252" i="9" s="1"/>
  <c r="K244" i="9"/>
  <c r="M244" i="9" s="1"/>
  <c r="N244" i="9" s="1"/>
  <c r="K236" i="9"/>
  <c r="M236" i="9" s="1"/>
  <c r="N236" i="9" s="1"/>
  <c r="K228" i="9"/>
  <c r="M228" i="9" s="1"/>
  <c r="N228" i="9" s="1"/>
  <c r="K220" i="9"/>
  <c r="M220" i="9" s="1"/>
  <c r="N220" i="9" s="1"/>
  <c r="K212" i="9"/>
  <c r="M212" i="9" s="1"/>
  <c r="N212" i="9" s="1"/>
  <c r="K204" i="9"/>
  <c r="M204" i="9" s="1"/>
  <c r="N204" i="9" s="1"/>
  <c r="K196" i="9"/>
  <c r="M196" i="9" s="1"/>
  <c r="N196" i="9" s="1"/>
  <c r="K352" i="9"/>
  <c r="M352" i="9" s="1"/>
  <c r="N352" i="9" s="1"/>
  <c r="K343" i="9"/>
  <c r="M343" i="9" s="1"/>
  <c r="N343" i="9" s="1"/>
  <c r="K335" i="9"/>
  <c r="M335" i="9" s="1"/>
  <c r="N335" i="9" s="1"/>
  <c r="K327" i="9"/>
  <c r="M327" i="9" s="1"/>
  <c r="N327" i="9" s="1"/>
  <c r="K319" i="9"/>
  <c r="M319" i="9" s="1"/>
  <c r="N319" i="9" s="1"/>
  <c r="K311" i="9"/>
  <c r="M311" i="9" s="1"/>
  <c r="N311" i="9" s="1"/>
  <c r="K303" i="9"/>
  <c r="M303" i="9" s="1"/>
  <c r="N303" i="9" s="1"/>
  <c r="K295" i="9"/>
  <c r="M295" i="9" s="1"/>
  <c r="N295" i="9" s="1"/>
  <c r="K287" i="9"/>
  <c r="M287" i="9" s="1"/>
  <c r="N287" i="9" s="1"/>
  <c r="K279" i="9"/>
  <c r="M279" i="9" s="1"/>
  <c r="N279" i="9" s="1"/>
  <c r="K271" i="9"/>
  <c r="M271" i="9" s="1"/>
  <c r="N271" i="9" s="1"/>
  <c r="K263" i="9"/>
  <c r="M263" i="9" s="1"/>
  <c r="N263" i="9" s="1"/>
  <c r="K255" i="9"/>
  <c r="M255" i="9" s="1"/>
  <c r="N255" i="9" s="1"/>
  <c r="K445" i="9"/>
  <c r="M445" i="9" s="1"/>
  <c r="N445" i="9" s="1"/>
  <c r="K429" i="9"/>
  <c r="M429" i="9" s="1"/>
  <c r="N429" i="9" s="1"/>
  <c r="K413" i="9"/>
  <c r="M413" i="9" s="1"/>
  <c r="N413" i="9" s="1"/>
  <c r="K397" i="9"/>
  <c r="M397" i="9" s="1"/>
  <c r="N397" i="9" s="1"/>
  <c r="K381" i="9"/>
  <c r="M381" i="9" s="1"/>
  <c r="N381" i="9" s="1"/>
  <c r="K350" i="9"/>
  <c r="M350" i="9" s="1"/>
  <c r="N350" i="9" s="1"/>
  <c r="K338" i="9"/>
  <c r="M338" i="9" s="1"/>
  <c r="N338" i="9" s="1"/>
  <c r="K330" i="9"/>
  <c r="M330" i="9" s="1"/>
  <c r="N330" i="9" s="1"/>
  <c r="K322" i="9"/>
  <c r="M322" i="9" s="1"/>
  <c r="N322" i="9" s="1"/>
  <c r="K314" i="9"/>
  <c r="M314" i="9" s="1"/>
  <c r="N314" i="9" s="1"/>
  <c r="K306" i="9"/>
  <c r="M306" i="9" s="1"/>
  <c r="N306" i="9" s="1"/>
  <c r="K298" i="9"/>
  <c r="M298" i="9" s="1"/>
  <c r="N298" i="9" s="1"/>
  <c r="K290" i="9"/>
  <c r="M290" i="9" s="1"/>
  <c r="N290" i="9" s="1"/>
  <c r="K282" i="9"/>
  <c r="M282" i="9" s="1"/>
  <c r="N282" i="9" s="1"/>
  <c r="K274" i="9"/>
  <c r="M274" i="9" s="1"/>
  <c r="N274" i="9" s="1"/>
  <c r="K266" i="9"/>
  <c r="M266" i="9" s="1"/>
  <c r="N266" i="9" s="1"/>
  <c r="K258" i="9"/>
  <c r="M258" i="9" s="1"/>
  <c r="N258" i="9" s="1"/>
  <c r="K250" i="9"/>
  <c r="M250" i="9" s="1"/>
  <c r="N250" i="9" s="1"/>
  <c r="K242" i="9"/>
  <c r="M242" i="9" s="1"/>
  <c r="N242" i="9" s="1"/>
  <c r="K234" i="9"/>
  <c r="M234" i="9" s="1"/>
  <c r="N234" i="9" s="1"/>
  <c r="K368" i="9"/>
  <c r="M368" i="9" s="1"/>
  <c r="N368" i="9" s="1"/>
  <c r="K363" i="9"/>
  <c r="M363" i="9" s="1"/>
  <c r="N363" i="9" s="1"/>
  <c r="K351" i="9"/>
  <c r="M351" i="9" s="1"/>
  <c r="N351" i="9" s="1"/>
  <c r="K344" i="9"/>
  <c r="M344" i="9" s="1"/>
  <c r="N344" i="9" s="1"/>
  <c r="K339" i="9"/>
  <c r="M339" i="9" s="1"/>
  <c r="N339" i="9" s="1"/>
  <c r="K331" i="9"/>
  <c r="M331" i="9" s="1"/>
  <c r="N331" i="9" s="1"/>
  <c r="K323" i="9"/>
  <c r="M323" i="9" s="1"/>
  <c r="N323" i="9" s="1"/>
  <c r="K315" i="9"/>
  <c r="M315" i="9" s="1"/>
  <c r="N315" i="9" s="1"/>
  <c r="K307" i="9"/>
  <c r="M307" i="9" s="1"/>
  <c r="N307" i="9" s="1"/>
  <c r="K299" i="9"/>
  <c r="M299" i="9" s="1"/>
  <c r="N299" i="9" s="1"/>
  <c r="K291" i="9"/>
  <c r="M291" i="9" s="1"/>
  <c r="N291" i="9" s="1"/>
  <c r="K283" i="9"/>
  <c r="M283" i="9" s="1"/>
  <c r="N283" i="9" s="1"/>
  <c r="K275" i="9"/>
  <c r="M275" i="9" s="1"/>
  <c r="N275" i="9" s="1"/>
  <c r="K267" i="9"/>
  <c r="M267" i="9" s="1"/>
  <c r="N267" i="9" s="1"/>
  <c r="K259" i="9"/>
  <c r="M259" i="9" s="1"/>
  <c r="N259" i="9" s="1"/>
  <c r="K251" i="9"/>
  <c r="M251" i="9" s="1"/>
  <c r="N251" i="9" s="1"/>
  <c r="K243" i="9"/>
  <c r="M243" i="9" s="1"/>
  <c r="N243" i="9" s="1"/>
  <c r="K235" i="9"/>
  <c r="M235" i="9" s="1"/>
  <c r="N235" i="9" s="1"/>
  <c r="K227" i="9"/>
  <c r="M227" i="9" s="1"/>
  <c r="N227" i="9" s="1"/>
  <c r="K477" i="9"/>
  <c r="M477" i="9" s="1"/>
  <c r="N477" i="9" s="1"/>
  <c r="K454" i="9"/>
  <c r="M454" i="9" s="1"/>
  <c r="N454" i="9" s="1"/>
  <c r="K437" i="9"/>
  <c r="M437" i="9" s="1"/>
  <c r="N437" i="9" s="1"/>
  <c r="K421" i="9"/>
  <c r="M421" i="9" s="1"/>
  <c r="N421" i="9" s="1"/>
  <c r="K405" i="9"/>
  <c r="M405" i="9" s="1"/>
  <c r="N405" i="9" s="1"/>
  <c r="K389" i="9"/>
  <c r="M389" i="9" s="1"/>
  <c r="N389" i="9" s="1"/>
  <c r="K370" i="9"/>
  <c r="M370" i="9" s="1"/>
  <c r="N370" i="9" s="1"/>
  <c r="K365" i="9"/>
  <c r="M365" i="9" s="1"/>
  <c r="N365" i="9" s="1"/>
  <c r="K342" i="9"/>
  <c r="M342" i="9" s="1"/>
  <c r="N342" i="9" s="1"/>
  <c r="K334" i="9"/>
  <c r="M334" i="9" s="1"/>
  <c r="N334" i="9" s="1"/>
  <c r="K326" i="9"/>
  <c r="M326" i="9" s="1"/>
  <c r="N326" i="9" s="1"/>
  <c r="K318" i="9"/>
  <c r="M318" i="9" s="1"/>
  <c r="N318" i="9" s="1"/>
  <c r="K310" i="9"/>
  <c r="M310" i="9" s="1"/>
  <c r="N310" i="9" s="1"/>
  <c r="K302" i="9"/>
  <c r="M302" i="9" s="1"/>
  <c r="N302" i="9" s="1"/>
  <c r="K294" i="9"/>
  <c r="M294" i="9" s="1"/>
  <c r="N294" i="9" s="1"/>
  <c r="K286" i="9"/>
  <c r="M286" i="9" s="1"/>
  <c r="N286" i="9" s="1"/>
  <c r="K278" i="9"/>
  <c r="M278" i="9" s="1"/>
  <c r="N278" i="9" s="1"/>
  <c r="K270" i="9"/>
  <c r="M270" i="9" s="1"/>
  <c r="N270" i="9" s="1"/>
  <c r="K262" i="9"/>
  <c r="M262" i="9" s="1"/>
  <c r="N262" i="9" s="1"/>
  <c r="K254" i="9"/>
  <c r="M254" i="9" s="1"/>
  <c r="N254" i="9" s="1"/>
  <c r="K246" i="9"/>
  <c r="M246" i="9" s="1"/>
  <c r="N246" i="9" s="1"/>
  <c r="K238" i="9"/>
  <c r="M238" i="9" s="1"/>
  <c r="N238" i="9" s="1"/>
  <c r="K230" i="9"/>
  <c r="M230" i="9" s="1"/>
  <c r="N230" i="9" s="1"/>
  <c r="K222" i="9"/>
  <c r="M222" i="9" s="1"/>
  <c r="N222" i="9" s="1"/>
  <c r="K366" i="9"/>
  <c r="M366" i="9" s="1"/>
  <c r="N366" i="9" s="1"/>
  <c r="K219" i="9"/>
  <c r="M219" i="9" s="1"/>
  <c r="N219" i="9" s="1"/>
  <c r="K213" i="9"/>
  <c r="M213" i="9" s="1"/>
  <c r="N213" i="9" s="1"/>
  <c r="K211" i="9"/>
  <c r="M211" i="9" s="1"/>
  <c r="N211" i="9" s="1"/>
  <c r="K205" i="9"/>
  <c r="M205" i="9" s="1"/>
  <c r="N205" i="9" s="1"/>
  <c r="K203" i="9"/>
  <c r="M203" i="9" s="1"/>
  <c r="N203" i="9" s="1"/>
  <c r="K197" i="9"/>
  <c r="M197" i="9" s="1"/>
  <c r="N197" i="9" s="1"/>
  <c r="K195" i="9"/>
  <c r="M195" i="9" s="1"/>
  <c r="N195" i="9" s="1"/>
  <c r="K191" i="9"/>
  <c r="M191" i="9" s="1"/>
  <c r="N191" i="9" s="1"/>
  <c r="K183" i="9"/>
  <c r="M183" i="9" s="1"/>
  <c r="N183" i="9" s="1"/>
  <c r="K175" i="9"/>
  <c r="M175" i="9" s="1"/>
  <c r="N175" i="9" s="1"/>
  <c r="K167" i="9"/>
  <c r="M167" i="9" s="1"/>
  <c r="N167" i="9" s="1"/>
  <c r="K159" i="9"/>
  <c r="M159" i="9" s="1"/>
  <c r="N159" i="9" s="1"/>
  <c r="K151" i="9"/>
  <c r="M151" i="9" s="1"/>
  <c r="N151" i="9" s="1"/>
  <c r="K143" i="9"/>
  <c r="M143" i="9" s="1"/>
  <c r="N143" i="9" s="1"/>
  <c r="K135" i="9"/>
  <c r="M135" i="9" s="1"/>
  <c r="N135" i="9" s="1"/>
  <c r="K127" i="9"/>
  <c r="M127" i="9" s="1"/>
  <c r="N127" i="9" s="1"/>
  <c r="K119" i="9"/>
  <c r="M119" i="9" s="1"/>
  <c r="N119" i="9" s="1"/>
  <c r="K111" i="9"/>
  <c r="K103" i="9"/>
  <c r="M103" i="9" s="1"/>
  <c r="N103" i="9" s="1"/>
  <c r="K95" i="9"/>
  <c r="M95" i="9" s="1"/>
  <c r="N95" i="9" s="1"/>
  <c r="K248" i="9"/>
  <c r="M248" i="9" s="1"/>
  <c r="N248" i="9" s="1"/>
  <c r="K245" i="9"/>
  <c r="M245" i="9" s="1"/>
  <c r="N245" i="9" s="1"/>
  <c r="K232" i="9"/>
  <c r="M232" i="9" s="1"/>
  <c r="N232" i="9" s="1"/>
  <c r="K224" i="9"/>
  <c r="M224" i="9" s="1"/>
  <c r="N224" i="9" s="1"/>
  <c r="K186" i="9"/>
  <c r="M186" i="9" s="1"/>
  <c r="N186" i="9" s="1"/>
  <c r="K178" i="9"/>
  <c r="M178" i="9" s="1"/>
  <c r="N178" i="9" s="1"/>
  <c r="K170" i="9"/>
  <c r="M170" i="9" s="1"/>
  <c r="N170" i="9" s="1"/>
  <c r="K162" i="9"/>
  <c r="M162" i="9" s="1"/>
  <c r="N162" i="9" s="1"/>
  <c r="K154" i="9"/>
  <c r="M154" i="9" s="1"/>
  <c r="N154" i="9" s="1"/>
  <c r="K146" i="9"/>
  <c r="M146" i="9" s="1"/>
  <c r="N146" i="9" s="1"/>
  <c r="K138" i="9"/>
  <c r="M138" i="9" s="1"/>
  <c r="N138" i="9" s="1"/>
  <c r="K130" i="9"/>
  <c r="M130" i="9" s="1"/>
  <c r="N130" i="9" s="1"/>
  <c r="K122" i="9"/>
  <c r="M122" i="9" s="1"/>
  <c r="N122" i="9" s="1"/>
  <c r="K114" i="9"/>
  <c r="M114" i="9" s="1"/>
  <c r="N114" i="9" s="1"/>
  <c r="K106" i="9"/>
  <c r="M106" i="9" s="1"/>
  <c r="N106" i="9" s="1"/>
  <c r="K355" i="9"/>
  <c r="M355" i="9" s="1"/>
  <c r="N355" i="9" s="1"/>
  <c r="K229" i="9"/>
  <c r="M229" i="9" s="1"/>
  <c r="N229" i="9" s="1"/>
  <c r="K226" i="9"/>
  <c r="M226" i="9" s="1"/>
  <c r="N226" i="9" s="1"/>
  <c r="K221" i="9"/>
  <c r="M221" i="9" s="1"/>
  <c r="N221" i="9" s="1"/>
  <c r="K189" i="9"/>
  <c r="M189" i="9" s="1"/>
  <c r="N189" i="9" s="1"/>
  <c r="K181" i="9"/>
  <c r="M181" i="9" s="1"/>
  <c r="N181" i="9" s="1"/>
  <c r="K173" i="9"/>
  <c r="M173" i="9" s="1"/>
  <c r="N173" i="9" s="1"/>
  <c r="K165" i="9"/>
  <c r="M165" i="9" s="1"/>
  <c r="N165" i="9" s="1"/>
  <c r="K157" i="9"/>
  <c r="M157" i="9" s="1"/>
  <c r="N157" i="9" s="1"/>
  <c r="K149" i="9"/>
  <c r="M149" i="9" s="1"/>
  <c r="N149" i="9" s="1"/>
  <c r="K141" i="9"/>
  <c r="M141" i="9" s="1"/>
  <c r="N141" i="9" s="1"/>
  <c r="K133" i="9"/>
  <c r="M133" i="9" s="1"/>
  <c r="N133" i="9" s="1"/>
  <c r="K125" i="9"/>
  <c r="M125" i="9" s="1"/>
  <c r="N125" i="9" s="1"/>
  <c r="K117" i="9"/>
  <c r="M117" i="9" s="1"/>
  <c r="N117" i="9" s="1"/>
  <c r="K109" i="9"/>
  <c r="M109" i="9" s="1"/>
  <c r="N109" i="9" s="1"/>
  <c r="K346" i="9"/>
  <c r="M346" i="9" s="1"/>
  <c r="N346" i="9" s="1"/>
  <c r="K247" i="9"/>
  <c r="M247" i="9" s="1"/>
  <c r="N247" i="9" s="1"/>
  <c r="K231" i="9"/>
  <c r="M231" i="9" s="1"/>
  <c r="N231" i="9" s="1"/>
  <c r="K223" i="9"/>
  <c r="M223" i="9" s="1"/>
  <c r="N223" i="9" s="1"/>
  <c r="K218" i="9"/>
  <c r="M218" i="9" s="1"/>
  <c r="N218" i="9" s="1"/>
  <c r="K210" i="9"/>
  <c r="M210" i="9" s="1"/>
  <c r="N210" i="9" s="1"/>
  <c r="K202" i="9"/>
  <c r="M202" i="9" s="1"/>
  <c r="N202" i="9" s="1"/>
  <c r="K194" i="9"/>
  <c r="M194" i="9" s="1"/>
  <c r="N194" i="9" s="1"/>
  <c r="K184" i="9"/>
  <c r="M184" i="9" s="1"/>
  <c r="N184" i="9" s="1"/>
  <c r="K176" i="9"/>
  <c r="M176" i="9" s="1"/>
  <c r="N176" i="9" s="1"/>
  <c r="K168" i="9"/>
  <c r="M168" i="9" s="1"/>
  <c r="N168" i="9" s="1"/>
  <c r="K216" i="9"/>
  <c r="M216" i="9" s="1"/>
  <c r="N216" i="9" s="1"/>
  <c r="K214" i="9"/>
  <c r="M214" i="9" s="1"/>
  <c r="N214" i="9" s="1"/>
  <c r="K208" i="9"/>
  <c r="M208" i="9" s="1"/>
  <c r="N208" i="9" s="1"/>
  <c r="K206" i="9"/>
  <c r="M206" i="9" s="1"/>
  <c r="N206" i="9" s="1"/>
  <c r="K200" i="9"/>
  <c r="M200" i="9" s="1"/>
  <c r="N200" i="9" s="1"/>
  <c r="K198" i="9"/>
  <c r="M198" i="9" s="1"/>
  <c r="N198" i="9" s="1"/>
  <c r="K192" i="9"/>
  <c r="M192" i="9" s="1"/>
  <c r="N192" i="9" s="1"/>
  <c r="K187" i="9"/>
  <c r="M187" i="9" s="1"/>
  <c r="N187" i="9" s="1"/>
  <c r="K179" i="9"/>
  <c r="M179" i="9" s="1"/>
  <c r="N179" i="9" s="1"/>
  <c r="K171" i="9"/>
  <c r="M171" i="9" s="1"/>
  <c r="N171" i="9" s="1"/>
  <c r="K163" i="9"/>
  <c r="M163" i="9" s="1"/>
  <c r="N163" i="9" s="1"/>
  <c r="K461" i="9"/>
  <c r="M461" i="9" s="1"/>
  <c r="N461" i="9" s="1"/>
  <c r="K357" i="9"/>
  <c r="M357" i="9" s="1"/>
  <c r="N357" i="9" s="1"/>
  <c r="K185" i="9"/>
  <c r="M185" i="9" s="1"/>
  <c r="N185" i="9" s="1"/>
  <c r="K177" i="9"/>
  <c r="M177" i="9" s="1"/>
  <c r="N177" i="9" s="1"/>
  <c r="K169" i="9"/>
  <c r="M169" i="9" s="1"/>
  <c r="N169" i="9" s="1"/>
  <c r="K161" i="9"/>
  <c r="M161" i="9" s="1"/>
  <c r="N161" i="9" s="1"/>
  <c r="K348" i="9"/>
  <c r="M348" i="9" s="1"/>
  <c r="N348" i="9" s="1"/>
  <c r="K336" i="9"/>
  <c r="M336" i="9" s="1"/>
  <c r="N336" i="9" s="1"/>
  <c r="K328" i="9"/>
  <c r="M328" i="9" s="1"/>
  <c r="N328" i="9" s="1"/>
  <c r="K320" i="9"/>
  <c r="M320" i="9" s="1"/>
  <c r="N320" i="9" s="1"/>
  <c r="K312" i="9"/>
  <c r="M312" i="9" s="1"/>
  <c r="N312" i="9" s="1"/>
  <c r="K304" i="9"/>
  <c r="M304" i="9" s="1"/>
  <c r="N304" i="9" s="1"/>
  <c r="K296" i="9"/>
  <c r="M296" i="9" s="1"/>
  <c r="N296" i="9" s="1"/>
  <c r="K288" i="9"/>
  <c r="M288" i="9" s="1"/>
  <c r="N288" i="9" s="1"/>
  <c r="K280" i="9"/>
  <c r="M280" i="9" s="1"/>
  <c r="N280" i="9" s="1"/>
  <c r="K272" i="9"/>
  <c r="M272" i="9" s="1"/>
  <c r="N272" i="9" s="1"/>
  <c r="K264" i="9"/>
  <c r="M264" i="9" s="1"/>
  <c r="N264" i="9" s="1"/>
  <c r="K256" i="9"/>
  <c r="M256" i="9" s="1"/>
  <c r="N256" i="9" s="1"/>
  <c r="K239" i="9"/>
  <c r="M239" i="9" s="1"/>
  <c r="N239" i="9" s="1"/>
  <c r="K215" i="9"/>
  <c r="M215" i="9" s="1"/>
  <c r="N215" i="9" s="1"/>
  <c r="K207" i="9"/>
  <c r="M207" i="9" s="1"/>
  <c r="N207" i="9" s="1"/>
  <c r="K199" i="9"/>
  <c r="M199" i="9" s="1"/>
  <c r="N199" i="9" s="1"/>
  <c r="K188" i="9"/>
  <c r="M188" i="9" s="1"/>
  <c r="N188" i="9" s="1"/>
  <c r="K180" i="9"/>
  <c r="M180" i="9" s="1"/>
  <c r="N180" i="9" s="1"/>
  <c r="K172" i="9"/>
  <c r="M172" i="9" s="1"/>
  <c r="N172" i="9" s="1"/>
  <c r="K164" i="9"/>
  <c r="M164" i="9" s="1"/>
  <c r="N164" i="9" s="1"/>
  <c r="K156" i="9"/>
  <c r="M156" i="9" s="1"/>
  <c r="N156" i="9" s="1"/>
  <c r="K148" i="9"/>
  <c r="M148" i="9" s="1"/>
  <c r="N148" i="9" s="1"/>
  <c r="K140" i="9"/>
  <c r="M140" i="9" s="1"/>
  <c r="N140" i="9" s="1"/>
  <c r="K132" i="9"/>
  <c r="M132" i="9" s="1"/>
  <c r="N132" i="9" s="1"/>
  <c r="K124" i="9"/>
  <c r="M124" i="9" s="1"/>
  <c r="N124" i="9" s="1"/>
  <c r="L6" i="9"/>
  <c r="L10" i="9"/>
  <c r="L14" i="9"/>
  <c r="L18" i="9"/>
  <c r="L21" i="9"/>
  <c r="L24" i="9"/>
  <c r="K29" i="9"/>
  <c r="M29" i="9" s="1"/>
  <c r="N29" i="9" s="1"/>
  <c r="L32" i="9"/>
  <c r="K37" i="9"/>
  <c r="M37" i="9" s="1"/>
  <c r="N37" i="9" s="1"/>
  <c r="L40" i="9"/>
  <c r="K45" i="9"/>
  <c r="M45" i="9" s="1"/>
  <c r="N45" i="9" s="1"/>
  <c r="L48" i="9"/>
  <c r="K53" i="9"/>
  <c r="M53" i="9" s="1"/>
  <c r="N53" i="9" s="1"/>
  <c r="L56" i="9"/>
  <c r="K61" i="9"/>
  <c r="M61" i="9" s="1"/>
  <c r="N61" i="9" s="1"/>
  <c r="L64" i="9"/>
  <c r="K69" i="9"/>
  <c r="M69" i="9" s="1"/>
  <c r="N69" i="9" s="1"/>
  <c r="L72" i="9"/>
  <c r="K77" i="9"/>
  <c r="M77" i="9" s="1"/>
  <c r="N77" i="9" s="1"/>
  <c r="L80" i="9"/>
  <c r="K85" i="9"/>
  <c r="M85" i="9" s="1"/>
  <c r="N85" i="9" s="1"/>
  <c r="L88" i="9"/>
  <c r="K90" i="9"/>
  <c r="M90" i="9" s="1"/>
  <c r="N90" i="9" s="1"/>
  <c r="L97" i="9"/>
  <c r="K99" i="9"/>
  <c r="M99" i="9" s="1"/>
  <c r="N99" i="9" s="1"/>
  <c r="L104" i="9"/>
  <c r="L111" i="9"/>
  <c r="K118" i="9"/>
  <c r="M118" i="9" s="1"/>
  <c r="N118" i="9" s="1"/>
  <c r="K120" i="9"/>
  <c r="M120" i="9" s="1"/>
  <c r="N120" i="9" s="1"/>
  <c r="K128" i="9"/>
  <c r="M128" i="9" s="1"/>
  <c r="N128" i="9" s="1"/>
  <c r="K136" i="9"/>
  <c r="M136" i="9" s="1"/>
  <c r="N136" i="9" s="1"/>
  <c r="M139" i="9"/>
  <c r="N139" i="9" s="1"/>
  <c r="K144" i="9"/>
  <c r="M144" i="9" s="1"/>
  <c r="N144" i="9" s="1"/>
  <c r="K152" i="9"/>
  <c r="M152" i="9" s="1"/>
  <c r="N152" i="9" s="1"/>
  <c r="K155" i="9"/>
  <c r="M155" i="9" s="1"/>
  <c r="N155" i="9" s="1"/>
  <c r="K293" i="9"/>
  <c r="M293" i="9" s="1"/>
  <c r="N293" i="9" s="1"/>
  <c r="M308" i="9"/>
  <c r="N308" i="9" s="1"/>
  <c r="M253" i="9"/>
  <c r="N253" i="9" s="1"/>
  <c r="M285" i="9"/>
  <c r="N285" i="9" s="1"/>
  <c r="M309" i="9"/>
  <c r="N309" i="9" s="1"/>
  <c r="M907" i="9"/>
  <c r="N907" i="9" s="1"/>
  <c r="M957" i="9"/>
  <c r="N957" i="9" s="1"/>
  <c r="M922" i="9"/>
  <c r="N922" i="9" s="1"/>
  <c r="M76" i="9" l="1"/>
  <c r="N76" i="9" s="1"/>
  <c r="M36" i="9"/>
  <c r="N36" i="9" s="1"/>
  <c r="M89" i="9"/>
  <c r="N89" i="9" s="1"/>
  <c r="M44" i="9"/>
  <c r="N44" i="9" s="1"/>
  <c r="M8" i="9"/>
  <c r="N8" i="9" s="1"/>
  <c r="M889" i="9"/>
  <c r="N889" i="9" s="1"/>
  <c r="M953" i="9"/>
  <c r="N953" i="9" s="1"/>
  <c r="M86" i="9"/>
  <c r="N86" i="9" s="1"/>
  <c r="M54" i="9"/>
  <c r="N54" i="9" s="1"/>
  <c r="M22" i="9"/>
  <c r="N22" i="9" s="1"/>
  <c r="M91" i="9"/>
  <c r="N91" i="9" s="1"/>
  <c r="M75" i="9"/>
  <c r="N75" i="9" s="1"/>
  <c r="M43" i="9"/>
  <c r="N43" i="9" s="1"/>
  <c r="M57" i="9"/>
  <c r="N57" i="9" s="1"/>
  <c r="M25" i="9"/>
  <c r="N25" i="9" s="1"/>
  <c r="M79" i="9"/>
  <c r="N79" i="9" s="1"/>
  <c r="M134" i="9"/>
  <c r="N134" i="9" s="1"/>
  <c r="M93" i="9"/>
  <c r="N93" i="9" s="1"/>
  <c r="M59" i="9"/>
  <c r="N59" i="9" s="1"/>
  <c r="M27" i="9"/>
  <c r="N27" i="9" s="1"/>
  <c r="M73" i="9"/>
  <c r="N73" i="9" s="1"/>
  <c r="M41" i="9"/>
  <c r="N41" i="9" s="1"/>
  <c r="M924" i="9"/>
  <c r="N924" i="9" s="1"/>
  <c r="M988" i="9"/>
  <c r="N988" i="9" s="1"/>
  <c r="M88" i="9"/>
  <c r="N88" i="9" s="1"/>
  <c r="M24" i="9"/>
  <c r="N24" i="9" s="1"/>
  <c r="M83" i="9"/>
  <c r="N83" i="9" s="1"/>
  <c r="M51" i="9"/>
  <c r="N51" i="9" s="1"/>
  <c r="M261" i="9"/>
  <c r="N261" i="9" s="1"/>
  <c r="M96" i="9"/>
  <c r="N96" i="9" s="1"/>
  <c r="M65" i="9"/>
  <c r="N65" i="9" s="1"/>
  <c r="M33" i="9"/>
  <c r="N33" i="9" s="1"/>
  <c r="M101" i="9"/>
  <c r="N101" i="9" s="1"/>
  <c r="M123" i="9"/>
  <c r="N123" i="9" s="1"/>
  <c r="M21" i="9"/>
  <c r="N21" i="9" s="1"/>
  <c r="M115" i="9"/>
  <c r="N115" i="9" s="1"/>
  <c r="M94" i="9"/>
  <c r="N94" i="9" s="1"/>
  <c r="M31" i="9"/>
  <c r="N31" i="9" s="1"/>
  <c r="M80" i="9"/>
  <c r="N80" i="9" s="1"/>
  <c r="M48" i="9"/>
  <c r="N48" i="9" s="1"/>
  <c r="M18" i="9"/>
  <c r="N18" i="9" s="1"/>
  <c r="M113" i="9"/>
  <c r="N113" i="9" s="1"/>
  <c r="M147" i="9"/>
  <c r="N147" i="9" s="1"/>
  <c r="M116" i="9"/>
  <c r="N116" i="9" s="1"/>
  <c r="M14" i="9"/>
  <c r="N14" i="9" s="1"/>
  <c r="M269" i="9"/>
  <c r="N269" i="9" s="1"/>
  <c r="M78" i="9"/>
  <c r="N78" i="9" s="1"/>
  <c r="M46" i="9"/>
  <c r="N46" i="9" s="1"/>
  <c r="M15" i="9"/>
  <c r="N15" i="9" s="1"/>
  <c r="M84" i="9"/>
  <c r="N84" i="9" s="1"/>
  <c r="M16" i="9"/>
  <c r="N16" i="9" s="1"/>
  <c r="M87" i="9"/>
  <c r="N87" i="9" s="1"/>
  <c r="M55" i="9"/>
  <c r="N55" i="9" s="1"/>
  <c r="M23" i="9"/>
  <c r="N23" i="9" s="1"/>
  <c r="M857" i="9"/>
  <c r="N857" i="9" s="1"/>
  <c r="M921" i="9"/>
  <c r="N921" i="9" s="1"/>
  <c r="M985" i="9"/>
  <c r="N985" i="9" s="1"/>
  <c r="M72" i="9"/>
  <c r="N72" i="9" s="1"/>
  <c r="M40" i="9"/>
  <c r="N40" i="9" s="1"/>
  <c r="M102" i="9"/>
  <c r="N102" i="9" s="1"/>
  <c r="M67" i="9"/>
  <c r="N67" i="9" s="1"/>
  <c r="M35" i="9"/>
  <c r="N35" i="9" s="1"/>
  <c r="M11" i="9"/>
  <c r="N11" i="9" s="1"/>
  <c r="M81" i="9"/>
  <c r="N81" i="9" s="1"/>
  <c r="M49" i="9"/>
  <c r="N49" i="9" s="1"/>
  <c r="M121" i="9"/>
  <c r="N121" i="9" s="1"/>
  <c r="M20" i="9"/>
  <c r="N20" i="9" s="1"/>
  <c r="M6" i="9"/>
  <c r="N6" i="9" s="1"/>
  <c r="M112" i="9"/>
  <c r="N112" i="9" s="1"/>
  <c r="M17" i="9"/>
  <c r="N17" i="9" s="1"/>
  <c r="M64" i="9"/>
  <c r="N64" i="9" s="1"/>
  <c r="M32" i="9"/>
  <c r="N32" i="9" s="1"/>
  <c r="M110" i="9"/>
  <c r="N110" i="9" s="1"/>
  <c r="M107" i="9"/>
  <c r="N107" i="9" s="1"/>
  <c r="M71" i="9"/>
  <c r="N71" i="9" s="1"/>
  <c r="M39" i="9"/>
  <c r="N39" i="9" s="1"/>
  <c r="M9" i="9"/>
  <c r="N9" i="9" s="1"/>
  <c r="M104" i="9"/>
  <c r="N104" i="9" s="1"/>
  <c r="M56" i="9"/>
  <c r="N56" i="9" s="1"/>
  <c r="N3" i="9"/>
  <c r="M411" i="9"/>
  <c r="N411" i="9" s="1"/>
  <c r="M527" i="9"/>
  <c r="N527" i="9" s="1"/>
  <c r="M894" i="9"/>
  <c r="N894" i="9" s="1"/>
  <c r="M108" i="9"/>
  <c r="N108" i="9" s="1"/>
  <c r="M70" i="9"/>
  <c r="N70" i="9" s="1"/>
  <c r="M38" i="9"/>
  <c r="N38" i="9" s="1"/>
  <c r="M7" i="9"/>
  <c r="N7" i="9" s="1"/>
  <c r="M190" i="9"/>
  <c r="N190" i="9" s="1"/>
  <c r="M150" i="9"/>
  <c r="N150" i="9" s="1"/>
  <c r="M82" i="9"/>
  <c r="N82" i="9" s="1"/>
  <c r="M50" i="9"/>
  <c r="N50" i="9" s="1"/>
  <c r="M13" i="9"/>
  <c r="N13" i="9" s="1"/>
  <c r="M249" i="9"/>
  <c r="N249" i="9" s="1"/>
  <c r="M313" i="9"/>
  <c r="N313" i="9" s="1"/>
  <c r="M777" i="9"/>
  <c r="N777" i="9" s="1"/>
  <c r="M599" i="9"/>
  <c r="N599" i="9" s="1"/>
  <c r="M100" i="9"/>
  <c r="N100" i="9" s="1"/>
  <c r="M174" i="9"/>
  <c r="N174" i="9" s="1"/>
  <c r="M137" i="9"/>
  <c r="N137" i="9" s="1"/>
  <c r="M478" i="9"/>
  <c r="N478" i="9" s="1"/>
  <c r="M491" i="9"/>
  <c r="N491" i="9" s="1"/>
  <c r="M570" i="9"/>
  <c r="N570" i="9" s="1"/>
  <c r="M692" i="9"/>
  <c r="N692" i="9" s="1"/>
  <c r="M697" i="9"/>
  <c r="N697" i="9" s="1"/>
  <c r="M166" i="9"/>
  <c r="N166" i="9" s="1"/>
  <c r="M62" i="9"/>
  <c r="N62" i="9" s="1"/>
  <c r="M30" i="9"/>
  <c r="N30" i="9" s="1"/>
  <c r="M142" i="9"/>
  <c r="N142" i="9" s="1"/>
  <c r="M74" i="9"/>
  <c r="N74" i="9" s="1"/>
  <c r="M42" i="9"/>
  <c r="N42" i="9" s="1"/>
  <c r="M5" i="9"/>
  <c r="N5" i="9" s="1"/>
  <c r="M548" i="9"/>
  <c r="N548" i="9" s="1"/>
  <c r="M380" i="9"/>
  <c r="N380" i="9" s="1"/>
  <c r="M444" i="9"/>
  <c r="N444" i="9" s="1"/>
  <c r="M714" i="9"/>
  <c r="N714" i="9" s="1"/>
  <c r="M773" i="9"/>
  <c r="N773" i="9" s="1"/>
  <c r="M880" i="9"/>
  <c r="N880" i="9" s="1"/>
  <c r="M153" i="9"/>
  <c r="N153" i="9" s="1"/>
  <c r="M687" i="9"/>
  <c r="N687" i="9" s="1"/>
  <c r="M852" i="9"/>
  <c r="N852" i="9" s="1"/>
  <c r="M916" i="9"/>
  <c r="N916" i="9" s="1"/>
  <c r="M980" i="9"/>
  <c r="N980" i="9" s="1"/>
  <c r="M945" i="9"/>
  <c r="N945" i="9" s="1"/>
  <c r="M10" i="9"/>
  <c r="N10" i="9" s="1"/>
  <c r="M129" i="9"/>
  <c r="N129" i="9" s="1"/>
  <c r="M66" i="9"/>
  <c r="N66" i="9" s="1"/>
  <c r="M34" i="9"/>
  <c r="N34" i="9" s="1"/>
  <c r="M111" i="9"/>
  <c r="N111" i="9" s="1"/>
  <c r="M504" i="9"/>
  <c r="N504" i="9" s="1"/>
  <c r="M568" i="9"/>
  <c r="N568" i="9" s="1"/>
  <c r="M619" i="9"/>
  <c r="N619" i="9" s="1"/>
  <c r="M815" i="9"/>
  <c r="N815" i="9" s="1"/>
  <c r="M97" i="9"/>
  <c r="N97" i="9" s="1"/>
  <c r="M19" i="9"/>
  <c r="N19" i="9" s="1"/>
  <c r="M398" i="9"/>
  <c r="N398" i="9" s="1"/>
  <c r="M464" i="9"/>
  <c r="N464" i="9" s="1"/>
  <c r="M575" i="9"/>
  <c r="N575" i="9" s="1"/>
  <c r="M754" i="9"/>
  <c r="N754" i="9" s="1"/>
  <c r="M961" i="9"/>
  <c r="N961" i="9" s="1"/>
  <c r="M240" i="9"/>
  <c r="N240" i="9" s="1"/>
  <c r="M145" i="9"/>
  <c r="N145" i="9" s="1"/>
  <c r="M126" i="9"/>
  <c r="N126" i="9" s="1"/>
  <c r="M92" i="9"/>
  <c r="N92" i="9" s="1"/>
  <c r="M58" i="9"/>
  <c r="N58" i="9" s="1"/>
  <c r="M26" i="9"/>
  <c r="N26" i="9" s="1"/>
  <c r="Q2" i="9" l="1"/>
  <c r="S2" i="9"/>
  <c r="W2" i="9" l="1"/>
  <c r="T2" i="9"/>
  <c r="X2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CE54781-782C-4FBD-B9D6-49D69FDC5247}" keepAlive="1" name="Query - BDFundPortfolio" description="Connection to the 'BDFundPortfolio' query in the workbook." type="5" refreshedVersion="7" background="1">
    <dbPr connection="Provider=Microsoft.Mashup.OleDb.1;Data Source=$Workbook$;Location=BDFundPortfolio;Extended Properties=&quot;&quot;" command="SELECT * FROM [BDFundPortfolio]"/>
  </connection>
  <connection id="2" xr16:uid="{C886B281-6F8E-40F4-95F1-88DA7155889C}" keepAlive="1" name="Query - BDFundPortfolio (2)" description="Connection to the 'BDFundPortfolio (2)' query in the workbook." type="5" refreshedVersion="7" minRefreshableVersion="3" background="1" saveData="1">
    <dbPr connection="Provider=Microsoft.Mashup.OleDb.1;Data Source=$Workbook$;Location=&quot;BDFundPortfolio (2)&quot;;Extended Properties=&quot;&quot;" command="SELECT * FROM [BDFundPortfolio (2)]"/>
  </connection>
  <connection id="3" xr16:uid="{37AAD226-2DDA-430E-8CB5-F1DE5EAB5138}" keepAlive="1" name="Query - DashSummary" description="Connection to the 'DashSummary' query in the workbook." type="5" refreshedVersion="7" minRefreshableVersion="3" background="1" saveData="1">
    <dbPr connection="Provider=Microsoft.Mashup.OleDb.1;Data Source=$Workbook$;Location=DashSummary;Extended Properties=&quot;&quot;" command="SELECT * FROM [DashSummary]"/>
  </connection>
  <connection id="4" xr16:uid="{08EC853F-D5F5-40F8-859B-BDD7272A21DF}" keepAlive="1" name="Query - SampleTradeList" description="Connection to the 'SampleTradeList' query in the workbook." type="5" refreshedVersion="7" minRefreshableVersion="3" background="1" saveData="1">
    <dbPr connection="Provider=Microsoft.Mashup.OleDb.1;Data Source=$Workbook$;Location=SampleTradeList;Extended Properties=&quot;&quot;" command="SELECT * FROM [SampleTradeList]"/>
  </connection>
</connections>
</file>

<file path=xl/sharedStrings.xml><?xml version="1.0" encoding="utf-8"?>
<sst xmlns="http://schemas.openxmlformats.org/spreadsheetml/2006/main" count="4770" uniqueCount="1351">
  <si>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</si>
  <si>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</si>
  <si>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</si>
  <si>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</si>
  <si>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</si>
  <si>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</si>
  <si>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</si>
  <si>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</si>
  <si>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</si>
  <si>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</si>
  <si>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</si>
  <si>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</si>
  <si>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</si>
  <si>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</si>
  <si>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</si>
  <si>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Portfolio</t>
  </si>
  <si>
    <t>AssetType</t>
  </si>
  <si>
    <t>AssetNumber</t>
  </si>
  <si>
    <t>Name</t>
  </si>
  <si>
    <t>Units</t>
  </si>
  <si>
    <t>CurrentMarketValue</t>
  </si>
  <si>
    <t>AverageCost</t>
  </si>
  <si>
    <t>LastPrice</t>
  </si>
  <si>
    <t>CurrentWeight</t>
  </si>
  <si>
    <t>PostTradeMarketValue</t>
  </si>
  <si>
    <t>PostTradeWeight</t>
  </si>
  <si>
    <t>IndicativeYield</t>
  </si>
  <si>
    <t>OptPC</t>
  </si>
  <si>
    <t>OptStrike</t>
  </si>
  <si>
    <t>OptExpiryYYYYMMDD</t>
  </si>
  <si>
    <t>BDIN_Portfolio</t>
  </si>
  <si>
    <t>EQ</t>
  </si>
  <si>
    <t>CRM</t>
  </si>
  <si>
    <t>US</t>
  </si>
  <si>
    <t/>
  </si>
  <si>
    <t>0</t>
  </si>
  <si>
    <t>AMZN</t>
  </si>
  <si>
    <t>FB</t>
  </si>
  <si>
    <t>AMS</t>
  </si>
  <si>
    <t>UBER</t>
  </si>
  <si>
    <t>MELI</t>
  </si>
  <si>
    <t>WDAY</t>
  </si>
  <si>
    <t>CBOE</t>
  </si>
  <si>
    <t>ANGI</t>
  </si>
  <si>
    <t>AAPL</t>
  </si>
  <si>
    <t>FLT</t>
  </si>
  <si>
    <t>RBLX</t>
  </si>
  <si>
    <t>MSFT</t>
  </si>
  <si>
    <t>ME</t>
  </si>
  <si>
    <t>V</t>
  </si>
  <si>
    <t>ETSY</t>
  </si>
  <si>
    <t>RH</t>
  </si>
  <si>
    <t>AMT</t>
  </si>
  <si>
    <t>AON</t>
  </si>
  <si>
    <t>JKHY</t>
  </si>
  <si>
    <t>CTVA</t>
  </si>
  <si>
    <t>BABA</t>
  </si>
  <si>
    <t>AVGO</t>
  </si>
  <si>
    <t>COIN</t>
  </si>
  <si>
    <t>ROP</t>
  </si>
  <si>
    <t>TAL</t>
  </si>
  <si>
    <t>FTDR</t>
  </si>
  <si>
    <t>EDU</t>
  </si>
  <si>
    <t>TCOM</t>
  </si>
  <si>
    <t>GOOGL</t>
  </si>
  <si>
    <t>LMT</t>
  </si>
  <si>
    <t>BIIB</t>
  </si>
  <si>
    <t>REAL</t>
  </si>
  <si>
    <t>PEP</t>
  </si>
  <si>
    <t>GRMN</t>
  </si>
  <si>
    <t>FI</t>
  </si>
  <si>
    <t>CAN 0 1/2 12/01/30</t>
  </si>
  <si>
    <t>CAN 0 1/2 09/01/25</t>
  </si>
  <si>
    <t>OP</t>
  </si>
  <si>
    <t>SPY</t>
  </si>
  <si>
    <t>V1521C440000</t>
  </si>
  <si>
    <t>Equity</t>
  </si>
  <si>
    <t>P</t>
  </si>
  <si>
    <t>20211015</t>
  </si>
  <si>
    <t>U1721C430000</t>
  </si>
  <si>
    <t>20210917</t>
  </si>
  <si>
    <t>U0721C425000</t>
  </si>
  <si>
    <t>20210907</t>
  </si>
  <si>
    <t>I1721C155000</t>
  </si>
  <si>
    <t>C</t>
  </si>
  <si>
    <t>U1721B230000</t>
  </si>
  <si>
    <t>I1721C255000</t>
  </si>
  <si>
    <t>I1721C380000</t>
  </si>
  <si>
    <t>I1721C290000</t>
  </si>
  <si>
    <t>I1721C520000</t>
  </si>
  <si>
    <t>I1721C280000</t>
  </si>
  <si>
    <t>ABNB</t>
  </si>
  <si>
    <t>V1521C110000</t>
  </si>
  <si>
    <t>I1721C185000</t>
  </si>
  <si>
    <t>U1721C200000</t>
  </si>
  <si>
    <t>I1721D450000</t>
  </si>
  <si>
    <t>U0721C400000</t>
  </si>
  <si>
    <t>J1521C300000</t>
  </si>
  <si>
    <t>U1721C410000</t>
  </si>
  <si>
    <t>SPOT</t>
  </si>
  <si>
    <t>V1521C200000</t>
  </si>
  <si>
    <t>V1521C410000</t>
  </si>
  <si>
    <t>CA</t>
  </si>
  <si>
    <t>CAD</t>
  </si>
  <si>
    <t>Curncy</t>
  </si>
  <si>
    <t>USD</t>
  </si>
  <si>
    <t>EUR/CAD R  9/27/2021</t>
  </si>
  <si>
    <t>BDOP_Portfolio</t>
  </si>
  <si>
    <t>PLAY</t>
  </si>
  <si>
    <t>BEKE</t>
  </si>
  <si>
    <t>ATHM</t>
  </si>
  <si>
    <t>COTY</t>
  </si>
  <si>
    <t>SABR</t>
  </si>
  <si>
    <t>BIDU</t>
  </si>
  <si>
    <t>L1721C170000</t>
  </si>
  <si>
    <t>20211217</t>
  </si>
  <si>
    <t>L1721C180000</t>
  </si>
  <si>
    <t>WYNN</t>
  </si>
  <si>
    <t>O1822D700000</t>
  </si>
  <si>
    <t>20220318</t>
  </si>
  <si>
    <t>V1521D150000</t>
  </si>
  <si>
    <t>K1921D325000</t>
  </si>
  <si>
    <t>20211119</t>
  </si>
  <si>
    <t>I1721C230000</t>
  </si>
  <si>
    <t>I1721C225000</t>
  </si>
  <si>
    <t>O1822D500000</t>
  </si>
  <si>
    <t>BDEQ_Portfolio</t>
  </si>
  <si>
    <t>PDD</t>
  </si>
  <si>
    <t>MRNA</t>
  </si>
  <si>
    <t>CME</t>
  </si>
  <si>
    <t>L1721C100000</t>
  </si>
  <si>
    <t>L1721C300000</t>
  </si>
  <si>
    <t>I1721C165000</t>
  </si>
  <si>
    <t>U1721C415000</t>
  </si>
  <si>
    <t>Column1</t>
  </si>
  <si>
    <t>Ticker</t>
  </si>
  <si>
    <t>CRM US Equity</t>
  </si>
  <si>
    <t>salesforce.com Inc</t>
  </si>
  <si>
    <t>AMZN US Equity</t>
  </si>
  <si>
    <t>Amazon.com Inc</t>
  </si>
  <si>
    <t>FB US Equity</t>
  </si>
  <si>
    <t>Facebook Inc</t>
  </si>
  <si>
    <t>AMS SM Equity</t>
  </si>
  <si>
    <t>Amadeus IT Group SA</t>
  </si>
  <si>
    <t>UBER US Equity</t>
  </si>
  <si>
    <t>Uber Technologies Inc</t>
  </si>
  <si>
    <t>DB1 GR Equity</t>
  </si>
  <si>
    <t>Deutsche Boerse AG</t>
  </si>
  <si>
    <t>MTX GR Equity</t>
  </si>
  <si>
    <t>MTU Aero Engines AG</t>
  </si>
  <si>
    <t>AENA SM Equity</t>
  </si>
  <si>
    <t>Aena SME SA</t>
  </si>
  <si>
    <t>MELI US Equity</t>
  </si>
  <si>
    <t>MercadoLibre Inc</t>
  </si>
  <si>
    <t>ALSEA* MM Equity</t>
  </si>
  <si>
    <t>Alsea SAB de CV</t>
  </si>
  <si>
    <t>WDAY US Equity</t>
  </si>
  <si>
    <t>Workday Inc</t>
  </si>
  <si>
    <t>CBOE US Equity</t>
  </si>
  <si>
    <t>Cboe Global Markets Inc</t>
  </si>
  <si>
    <t>ANGI US Equity</t>
  </si>
  <si>
    <t>Angi Inc</t>
  </si>
  <si>
    <t>AAPL US Equity</t>
  </si>
  <si>
    <t>Apple Inc</t>
  </si>
  <si>
    <t>FLT US Equity</t>
  </si>
  <si>
    <t>FleetCor Technologies Inc</t>
  </si>
  <si>
    <t>RBLX US Equity</t>
  </si>
  <si>
    <t>ROBLOX Corp</t>
  </si>
  <si>
    <t>MSFT US Equity</t>
  </si>
  <si>
    <t>Microsoft Corp</t>
  </si>
  <si>
    <t>ME US Equity</t>
  </si>
  <si>
    <t>23andMe Holding Co</t>
  </si>
  <si>
    <t>AC* MM Equity</t>
  </si>
  <si>
    <t>Arca Continental SAB de CV</t>
  </si>
  <si>
    <t>700 HK Equity</t>
  </si>
  <si>
    <t>Tencent Holdings Ltd</t>
  </si>
  <si>
    <t>V US Equity</t>
  </si>
  <si>
    <t>Visa Inc</t>
  </si>
  <si>
    <t>ETSY US Equity</t>
  </si>
  <si>
    <t>Etsy Inc</t>
  </si>
  <si>
    <t>RH US Equity</t>
  </si>
  <si>
    <t>AMT US Equity</t>
  </si>
  <si>
    <t>American Tower Corp</t>
  </si>
  <si>
    <t>AON US Equity</t>
  </si>
  <si>
    <t>Aon PLC</t>
  </si>
  <si>
    <t>SWMA SS Equity</t>
  </si>
  <si>
    <t>Swedish Match AB</t>
  </si>
  <si>
    <t>HEIA NA Equity</t>
  </si>
  <si>
    <t>Heineken NV</t>
  </si>
  <si>
    <t>JKHY US Equity</t>
  </si>
  <si>
    <t>Jack Henry &amp; Associates Inc</t>
  </si>
  <si>
    <t>CTVA US Equity</t>
  </si>
  <si>
    <t>Corteva Inc</t>
  </si>
  <si>
    <t>PRX NA Equity</t>
  </si>
  <si>
    <t>Prosus NV</t>
  </si>
  <si>
    <t>BABA US Equity</t>
  </si>
  <si>
    <t>Alibaba Group Holding Ltd</t>
  </si>
  <si>
    <t>AVGO US Equity</t>
  </si>
  <si>
    <t>Broadcom Inc</t>
  </si>
  <si>
    <t>COIN US Equity</t>
  </si>
  <si>
    <t>Coinbase Global Inc</t>
  </si>
  <si>
    <t>ROP US Equity</t>
  </si>
  <si>
    <t>Roper Technologies Inc</t>
  </si>
  <si>
    <t>TAL US Equity</t>
  </si>
  <si>
    <t>TAL Education Group</t>
  </si>
  <si>
    <t>CSU CN Equity</t>
  </si>
  <si>
    <t>Constellation Software Inc/Canada</t>
  </si>
  <si>
    <t>FTDR US Equity</t>
  </si>
  <si>
    <t>Frontdoor Inc</t>
  </si>
  <si>
    <t>EDU US Equity</t>
  </si>
  <si>
    <t>New Oriental Education &amp; Technology Group Inc</t>
  </si>
  <si>
    <t>8697 JP Equity</t>
  </si>
  <si>
    <t>Japan Exchange Group Inc</t>
  </si>
  <si>
    <t>9901 HK Equity</t>
  </si>
  <si>
    <t>TCOM US Equity</t>
  </si>
  <si>
    <t>Trip.com Group Ltd</t>
  </si>
  <si>
    <t>GOOGL US Equity</t>
  </si>
  <si>
    <t>Alphabet Inc</t>
  </si>
  <si>
    <t>LMT US Equity</t>
  </si>
  <si>
    <t>Lockheed Martin Corp</t>
  </si>
  <si>
    <t>BIIB US Equity</t>
  </si>
  <si>
    <t>Biogen Inc</t>
  </si>
  <si>
    <t>AC FP Equity</t>
  </si>
  <si>
    <t>Accor SA</t>
  </si>
  <si>
    <t>REAL US Equity</t>
  </si>
  <si>
    <t>RealReal Inc/The</t>
  </si>
  <si>
    <t>PEP US Equity</t>
  </si>
  <si>
    <t>PepsiCo Inc</t>
  </si>
  <si>
    <t>GRMN US Equity</t>
  </si>
  <si>
    <t>Garmin Ltd</t>
  </si>
  <si>
    <t>ZO760437     Corp</t>
  </si>
  <si>
    <t>BH518546     Corp</t>
  </si>
  <si>
    <t>SPY US V1521C440000 Equity</t>
  </si>
  <si>
    <t>SPDR S&amp;P 500 ETF Trust</t>
  </si>
  <si>
    <t>SPY US U1721C430000 Equity</t>
  </si>
  <si>
    <t>SPY US U0721C425000 Equity</t>
  </si>
  <si>
    <t>PEP US I1721C155000 Equity</t>
  </si>
  <si>
    <t>GOOGL US U1721B230000 Equity</t>
  </si>
  <si>
    <t>V US I1721C255000 Equity</t>
  </si>
  <si>
    <t>FB US I1721C380000 Equity</t>
  </si>
  <si>
    <t>CRM US I1721C290000 Equity</t>
  </si>
  <si>
    <t>AVGO US I1721C520000 Equity</t>
  </si>
  <si>
    <t>WDAY US I1721C280000 Equity</t>
  </si>
  <si>
    <t>ABNB US V1521C110000 Equity</t>
  </si>
  <si>
    <t>Airbnb Inc</t>
  </si>
  <si>
    <t>JKHY US I1721C185000 Equity</t>
  </si>
  <si>
    <t>WDAY US U1721C200000 Equity</t>
  </si>
  <si>
    <t>TCOM US I1721D450000 Equity</t>
  </si>
  <si>
    <t>SPY US U0721C400000 Equity</t>
  </si>
  <si>
    <t>AMT US J1521C300000 Equity</t>
  </si>
  <si>
    <t>SPY US U1721C410000 Equity</t>
  </si>
  <si>
    <t>SPOT US V1521C200000 Equity</t>
  </si>
  <si>
    <t>Spotify Technology SA</t>
  </si>
  <si>
    <t>SPY US V1521C410000 Equity</t>
  </si>
  <si>
    <t>PSA CN Equity</t>
  </si>
  <si>
    <t>Purpose High Interest Savings ETF</t>
  </si>
  <si>
    <t>CAD Curncy</t>
  </si>
  <si>
    <t>USDCAD Spot Exchange Rate - Price of 1 USD in CAD</t>
  </si>
  <si>
    <t>USD Curncy</t>
  </si>
  <si>
    <t>USDUSD Spot Exchange Rate - Price of 1 USD in USD</t>
  </si>
  <si>
    <t>OPXBCI56 Curncy</t>
  </si>
  <si>
    <t>#N/A Field Not Applicable</t>
  </si>
  <si>
    <t>EUR/CAD 9/27/2021 Curncy</t>
  </si>
  <si>
    <t>IRTC US Equity</t>
  </si>
  <si>
    <t>iRhythm Technologies Inc</t>
  </si>
  <si>
    <t>DUFN SW Equity</t>
  </si>
  <si>
    <t>Dufry AG</t>
  </si>
  <si>
    <t>PLAY US Equity</t>
  </si>
  <si>
    <t>Dave &amp; Buster's Entertainment Inc</t>
  </si>
  <si>
    <t>ATL IM Equity</t>
  </si>
  <si>
    <t>Atlantia SpA</t>
  </si>
  <si>
    <t>BEKE US Equity</t>
  </si>
  <si>
    <t>KE Holdings Inc</t>
  </si>
  <si>
    <t>ATHM US Equity</t>
  </si>
  <si>
    <t>Autohome Inc</t>
  </si>
  <si>
    <t>KC US Equity</t>
  </si>
  <si>
    <t>Kingsoft Cloud Holdings Ltd</t>
  </si>
  <si>
    <t>MEL SM Equity</t>
  </si>
  <si>
    <t>Melia Hotels International SA</t>
  </si>
  <si>
    <t>COTY US Equity</t>
  </si>
  <si>
    <t>Coty Inc</t>
  </si>
  <si>
    <t>MSGE US Equity</t>
  </si>
  <si>
    <t>Madison Square Garden Entertainment Corp</t>
  </si>
  <si>
    <t>JSG LN Equity</t>
  </si>
  <si>
    <t>Johnson Service Group PLC</t>
  </si>
  <si>
    <t>SSPG LN Equity</t>
  </si>
  <si>
    <t>SSP Group Plc</t>
  </si>
  <si>
    <t>TKA GR Equity</t>
  </si>
  <si>
    <t>thyssenkrupp AG</t>
  </si>
  <si>
    <t>SABR US Equity</t>
  </si>
  <si>
    <t>Sabre Corp</t>
  </si>
  <si>
    <t>CIEL3 BZ Equity</t>
  </si>
  <si>
    <t>Cielo SA</t>
  </si>
  <si>
    <t>TCEHY US Equity</t>
  </si>
  <si>
    <t>YSG US Equity</t>
  </si>
  <si>
    <t>Yatsen Holding Ltd</t>
  </si>
  <si>
    <t>AGL IM Equity</t>
  </si>
  <si>
    <t>Autogrill SpA</t>
  </si>
  <si>
    <t>KRN GR Equity</t>
  </si>
  <si>
    <t>Krones AG</t>
  </si>
  <si>
    <t>788 HK Equity</t>
  </si>
  <si>
    <t>China Tower Corp Ltd</t>
  </si>
  <si>
    <t>BIDU US L1721C170000 Equity</t>
  </si>
  <si>
    <t>Baidu Inc</t>
  </si>
  <si>
    <t>BABA US L1721C180000 Equity</t>
  </si>
  <si>
    <t>WYNN US O1822D700000 Equity</t>
  </si>
  <si>
    <t>Wynn Resorts Ltd</t>
  </si>
  <si>
    <t>BEKE US V1521D150000 Equity</t>
  </si>
  <si>
    <t>TAL US K1921D325000 Equity</t>
  </si>
  <si>
    <t>BABA US I1721C230000 Equity</t>
  </si>
  <si>
    <t>BABA US I1721C225000 Equity</t>
  </si>
  <si>
    <t>WYNN US O1822D500000 Equity</t>
  </si>
  <si>
    <t>PDD US Equity</t>
  </si>
  <si>
    <t>Pinduoduo Inc</t>
  </si>
  <si>
    <t>MRNA US Equity</t>
  </si>
  <si>
    <t>Moderna Inc</t>
  </si>
  <si>
    <t>CME US Equity</t>
  </si>
  <si>
    <t>CME Group Inc</t>
  </si>
  <si>
    <t>RI FP Equity</t>
  </si>
  <si>
    <t>Pernod Ricard SA</t>
  </si>
  <si>
    <t>RBLX US L1721C100000 Equity</t>
  </si>
  <si>
    <t>COIN US L1721C300000 Equity</t>
  </si>
  <si>
    <t>WYNN US I1721C165000 Equity</t>
  </si>
  <si>
    <t>SPY US U1721C415000 Equity</t>
  </si>
  <si>
    <t>Symbol</t>
  </si>
  <si>
    <t>LastStockPrice</t>
  </si>
  <si>
    <t>LastStockPriceDate</t>
  </si>
  <si>
    <t>ZoneYYYYMMDD</t>
  </si>
  <si>
    <t>MMRatio</t>
  </si>
  <si>
    <t>StdevRatio</t>
  </si>
  <si>
    <t>ZoneNum</t>
  </si>
  <si>
    <t>ZoneLabel</t>
  </si>
  <si>
    <t>BDPos</t>
  </si>
  <si>
    <t>OptionTicker</t>
  </si>
  <si>
    <t>Strike</t>
  </si>
  <si>
    <t>OptionBid</t>
  </si>
  <si>
    <t>ImpliedYield</t>
  </si>
  <si>
    <t>StrikeRatio</t>
  </si>
  <si>
    <t>LongName</t>
  </si>
  <si>
    <t>Currency</t>
  </si>
  <si>
    <t>ShareOut</t>
  </si>
  <si>
    <t>MarketCap</t>
  </si>
  <si>
    <t>MarketCapUSD</t>
  </si>
  <si>
    <t>Exchange</t>
  </si>
  <si>
    <t>MarketCapComma</t>
  </si>
  <si>
    <t>MarketCapLabel</t>
  </si>
  <si>
    <t>BDPosDetails</t>
  </si>
  <si>
    <t>BDPosUSDValue</t>
  </si>
  <si>
    <t>ExchangeRate</t>
  </si>
  <si>
    <t>BDCallOptPos</t>
  </si>
  <si>
    <t>BDCallOptDets</t>
  </si>
  <si>
    <t>OptionExpiry</t>
  </si>
  <si>
    <t>BDEQPos</t>
  </si>
  <si>
    <t>BDEQPosUSDValue</t>
  </si>
  <si>
    <t>BDEQCallOptPos</t>
  </si>
  <si>
    <t>MaxBTStrikeRatio</t>
  </si>
  <si>
    <t>BTStrikeCount</t>
  </si>
  <si>
    <t>_1</t>
  </si>
  <si>
    <t>_2</t>
  </si>
  <si>
    <t>0700.HK</t>
  </si>
  <si>
    <t>20210924</t>
  </si>
  <si>
    <t>p-v-</t>
  </si>
  <si>
    <t>Tencent Holdings Limited</t>
  </si>
  <si>
    <t>HKD</t>
  </si>
  <si>
    <t>HKG</t>
  </si>
  <si>
    <t>4,416,235.63 MM</t>
  </si>
  <si>
    <t>Large Cap</t>
  </si>
  <si>
    <t>IN(8,600) EQ(6,900)</t>
  </si>
  <si>
    <t>6900</t>
  </si>
  <si>
    <t>407863.45</t>
  </si>
  <si>
    <t>8697.T</t>
  </si>
  <si>
    <t>pHvH</t>
  </si>
  <si>
    <t>Japan Exchange Group Inc.</t>
  </si>
  <si>
    <t>JPY</t>
  </si>
  <si>
    <t>JPX</t>
  </si>
  <si>
    <t>1,573,510.71 MM</t>
  </si>
  <si>
    <t>IN(11,900) EQ(9,300)</t>
  </si>
  <si>
    <t>9300</t>
  </si>
  <si>
    <t>249840.09</t>
  </si>
  <si>
    <t>p-vL</t>
  </si>
  <si>
    <t>AAPL211217C00165000</t>
  </si>
  <si>
    <t>Apple Inc.</t>
  </si>
  <si>
    <t>NMS</t>
  </si>
  <si>
    <t>2,428,616.84 MM</t>
  </si>
  <si>
    <t>IN(3,679) EQ(2,916)</t>
  </si>
  <si>
    <t>2916</t>
  </si>
  <si>
    <t>428418.71</t>
  </si>
  <si>
    <t>ABNB220121C00220000</t>
  </si>
  <si>
    <t>Airbnb Inc.</t>
  </si>
  <si>
    <t>110,565.74 MM</t>
  </si>
  <si>
    <t>20220121</t>
  </si>
  <si>
    <t>0.00</t>
  </si>
  <si>
    <t>AXON</t>
  </si>
  <si>
    <t>AXON211217C00220000</t>
  </si>
  <si>
    <t>Axon Enterprise Inc.</t>
  </si>
  <si>
    <t>11,805.21 MM</t>
  </si>
  <si>
    <t>ABT</t>
  </si>
  <si>
    <t>ABT220121C00135000</t>
  </si>
  <si>
    <t>Abbott Laboratories</t>
  </si>
  <si>
    <t>NYQ</t>
  </si>
  <si>
    <t>220,485.63 MM</t>
  </si>
  <si>
    <t>AC.PA</t>
  </si>
  <si>
    <t>pHvL</t>
  </si>
  <si>
    <t>EUR</t>
  </si>
  <si>
    <t>PAR</t>
  </si>
  <si>
    <t>7,978.23 MM</t>
  </si>
  <si>
    <t>Mid Cap</t>
  </si>
  <si>
    <t>IN(7,279) OP(45,568) EQ(8,438)</t>
  </si>
  <si>
    <t>8438</t>
  </si>
  <si>
    <t>301272.38</t>
  </si>
  <si>
    <t>ADBE</t>
  </si>
  <si>
    <t>ADBE211217C00700000</t>
  </si>
  <si>
    <t>Adobe Inc.</t>
  </si>
  <si>
    <t>296,659.06 MM</t>
  </si>
  <si>
    <t>ADI</t>
  </si>
  <si>
    <t>pHv-</t>
  </si>
  <si>
    <t>ADI211217C00195000</t>
  </si>
  <si>
    <t>Analog Devices Inc.</t>
  </si>
  <si>
    <t>95,943.98 MM</t>
  </si>
  <si>
    <t>ADP</t>
  </si>
  <si>
    <t>ADP220121C00230000</t>
  </si>
  <si>
    <t>Automatic Data Processing Inc.</t>
  </si>
  <si>
    <t>85,555.44 MM</t>
  </si>
  <si>
    <t>ADS</t>
  </si>
  <si>
    <t>ADS211217C00130000</t>
  </si>
  <si>
    <t>Alliance Data Systems Corporation</t>
  </si>
  <si>
    <t>5,094.02 MM</t>
  </si>
  <si>
    <t>ADSK</t>
  </si>
  <si>
    <t>pLvH</t>
  </si>
  <si>
    <t>ADSK220121C00340000</t>
  </si>
  <si>
    <t>Autodesk Inc.</t>
  </si>
  <si>
    <t>64,783.20 MM</t>
  </si>
  <si>
    <t>AENA.MC</t>
  </si>
  <si>
    <t>Aena S.M.E. S.A.</t>
  </si>
  <si>
    <t>MCE</t>
  </si>
  <si>
    <t>21,157.50 MM</t>
  </si>
  <si>
    <t>IN(4,023) OP(6,255) EQ(2,789)</t>
  </si>
  <si>
    <t>2789</t>
  </si>
  <si>
    <t>460966.09</t>
  </si>
  <si>
    <t>AGL.MI</t>
  </si>
  <si>
    <t>Autogrill S.p.A.</t>
  </si>
  <si>
    <t>MIL</t>
  </si>
  <si>
    <t>1,741.95 MM</t>
  </si>
  <si>
    <t>Small Cap</t>
  </si>
  <si>
    <t>OP(127,048)</t>
  </si>
  <si>
    <t>AIR.PA</t>
  </si>
  <si>
    <t>Airbus SE</t>
  </si>
  <si>
    <t>90,679.35 MM</t>
  </si>
  <si>
    <t>AMS.MC</t>
  </si>
  <si>
    <t>Amadeus IT Group S.A.</t>
  </si>
  <si>
    <t>25,574.96 MM</t>
  </si>
  <si>
    <t>IN(10,845) OP(28,466) EQ(8,784)</t>
  </si>
  <si>
    <t>8784</t>
  </si>
  <si>
    <t>585462.77</t>
  </si>
  <si>
    <t>pLvL</t>
  </si>
  <si>
    <t>AMT220121C00310000</t>
  </si>
  <si>
    <t>American Tower Corporation (REIT)</t>
  </si>
  <si>
    <t>128,431.69 MM</t>
  </si>
  <si>
    <t>IN(1,605) EQ(1,103)</t>
  </si>
  <si>
    <t>IN(-16) EQ(-11)</t>
  </si>
  <si>
    <t>1103</t>
  </si>
  <si>
    <t>311244.53</t>
  </si>
  <si>
    <t>AMZN211217C03800000</t>
  </si>
  <si>
    <t>Amazon.com Inc.</t>
  </si>
  <si>
    <t>1,734,823.77 MM</t>
  </si>
  <si>
    <t>IN(260) EQ(207)</t>
  </si>
  <si>
    <t>207</t>
  </si>
  <si>
    <t>709082.64</t>
  </si>
  <si>
    <t>ANET</t>
  </si>
  <si>
    <t>ANET211217C00430000</t>
  </si>
  <si>
    <t>Arista Networks Inc.</t>
  </si>
  <si>
    <t>27,629.48 MM</t>
  </si>
  <si>
    <t>ANGI220121C00020000</t>
  </si>
  <si>
    <t>Angi Inc.</t>
  </si>
  <si>
    <t>7,260.41 MM</t>
  </si>
  <si>
    <t>IN(38,753) OP(142,862) EQ(35,586)</t>
  </si>
  <si>
    <t>35586</t>
  </si>
  <si>
    <t>512438.40</t>
  </si>
  <si>
    <t>ANSS</t>
  </si>
  <si>
    <t>ANSS220121C00400000</t>
  </si>
  <si>
    <t>ANSYS Inc.</t>
  </si>
  <si>
    <t>31,546.14 MM</t>
  </si>
  <si>
    <t>AON211217C00330000</t>
  </si>
  <si>
    <t>Aon plc</t>
  </si>
  <si>
    <t>67,536.74 MM</t>
  </si>
  <si>
    <t>IN(1,499) EQ(1,273)</t>
  </si>
  <si>
    <t>1273</t>
  </si>
  <si>
    <t>380843.43</t>
  </si>
  <si>
    <t>APH</t>
  </si>
  <si>
    <t>APH211217C00085000</t>
  </si>
  <si>
    <t>Amphenol Corporation</t>
  </si>
  <si>
    <t>46,353.35 MM</t>
  </si>
  <si>
    <t>ASR</t>
  </si>
  <si>
    <t>ASR211217C00190000</t>
  </si>
  <si>
    <t>Grupo Aeroportuario del Sureste S. A. B. de C. V.</t>
  </si>
  <si>
    <t>5,705.77 MM</t>
  </si>
  <si>
    <t>ATL.MI</t>
  </si>
  <si>
    <t>13,428.71 MM</t>
  </si>
  <si>
    <t>OP(94,968)</t>
  </si>
  <si>
    <t>ATHM211217C00055000</t>
  </si>
  <si>
    <t>Autohome Inc.</t>
  </si>
  <si>
    <t>5,136.68 MM</t>
  </si>
  <si>
    <t>OP(38,396)</t>
  </si>
  <si>
    <t>AVGO211217C00550000</t>
  </si>
  <si>
    <t>Broadcom Inc.</t>
  </si>
  <si>
    <t>207,833.15 MM</t>
  </si>
  <si>
    <t>IN(804) EQ(654)</t>
  </si>
  <si>
    <t>IN(-8) EQ(-6)</t>
  </si>
  <si>
    <t>654</t>
  </si>
  <si>
    <t>330217.69</t>
  </si>
  <si>
    <t>B3SA3.SA</t>
  </si>
  <si>
    <t>B3 S.A. - Brasil Bolsa BalcÃ£o</t>
  </si>
  <si>
    <t>BRL</t>
  </si>
  <si>
    <t>SAO</t>
  </si>
  <si>
    <t>84,291.02 MM</t>
  </si>
  <si>
    <t>BABA211217C00190000</t>
  </si>
  <si>
    <t>Alibaba Group Holding Limited</t>
  </si>
  <si>
    <t>396,647.27 MM</t>
  </si>
  <si>
    <t>IN(2,862) OP(9,277) EQ(2,858)</t>
  </si>
  <si>
    <t>OP(--</t>
  </si>
  <si>
    <t>500) OP(--</t>
  </si>
  <si>
    <t>280) OP(-140) EQ(--</t>
  </si>
  <si>
    <t>200) EQ(--70)</t>
  </si>
  <si>
    <t>BAX</t>
  </si>
  <si>
    <t>p-vH</t>
  </si>
  <si>
    <t>BAX220121C00087500</t>
  </si>
  <si>
    <t>Baxter International Inc.</t>
  </si>
  <si>
    <t>40,417.72 MM</t>
  </si>
  <si>
    <t>BAYN.DE</t>
  </si>
  <si>
    <t>pLv-</t>
  </si>
  <si>
    <t>Bayer Aktiengesellschaft</t>
  </si>
  <si>
    <t>GER</t>
  </si>
  <si>
    <t>45,677.80 MM</t>
  </si>
  <si>
    <t>BDX</t>
  </si>
  <si>
    <t>BDX211217C00270000</t>
  </si>
  <si>
    <t>Becton Dickinson and Company</t>
  </si>
  <si>
    <t>72,710.77 MM</t>
  </si>
  <si>
    <t>BEKE220121C00030000</t>
  </si>
  <si>
    <t>KE Holdings Inc.</t>
  </si>
  <si>
    <t>19,685.58 MM</t>
  </si>
  <si>
    <t>OP(100,570)</t>
  </si>
  <si>
    <t>BIIB220121C00370000</t>
  </si>
  <si>
    <t>Biogen Inc.</t>
  </si>
  <si>
    <t>43,474.41 MM</t>
  </si>
  <si>
    <t>IN(902) EQ(1,074)</t>
  </si>
  <si>
    <t>1074</t>
  </si>
  <si>
    <t>313296.53</t>
  </si>
  <si>
    <t>BIDU211217C00195000</t>
  </si>
  <si>
    <t>Baidu Inc.</t>
  </si>
  <si>
    <t>54,597.21 MM</t>
  </si>
  <si>
    <t>400)</t>
  </si>
  <si>
    <t>BKNG</t>
  </si>
  <si>
    <t>BKNG211217C02900000</t>
  </si>
  <si>
    <t>Booking Holdings Inc.</t>
  </si>
  <si>
    <t>102,294.34 MM</t>
  </si>
  <si>
    <t>BLK</t>
  </si>
  <si>
    <t>BLK220121C00960000</t>
  </si>
  <si>
    <t>BlackRock Inc.</t>
  </si>
  <si>
    <t>133,113.67 MM</t>
  </si>
  <si>
    <t>BR</t>
  </si>
  <si>
    <t>BR211217C00190000</t>
  </si>
  <si>
    <t>Broadridge Financial Solutions Inc.</t>
  </si>
  <si>
    <t>19,633.55 MM</t>
  </si>
  <si>
    <t>BX</t>
  </si>
  <si>
    <t>BX211217C00140000</t>
  </si>
  <si>
    <t>Blackstone Inc.</t>
  </si>
  <si>
    <t>89,487.78 MM</t>
  </si>
  <si>
    <t>CBOE211217C00140000</t>
  </si>
  <si>
    <t>Cboe Global Markets Inc.</t>
  </si>
  <si>
    <t>BTS</t>
  </si>
  <si>
    <t>13,417.44 MM</t>
  </si>
  <si>
    <t>IN(4,453) EQ(3,949)</t>
  </si>
  <si>
    <t>3949</t>
  </si>
  <si>
    <t>496942.14</t>
  </si>
  <si>
    <t>CDLX</t>
  </si>
  <si>
    <t>CDLX211217C00140000</t>
  </si>
  <si>
    <t>Cardlytics Inc.</t>
  </si>
  <si>
    <t>NGM</t>
  </si>
  <si>
    <t>3,186.72 MM</t>
  </si>
  <si>
    <t>CERN</t>
  </si>
  <si>
    <t>CERN211217C00075000</t>
  </si>
  <si>
    <t>Cerner Corporation</t>
  </si>
  <si>
    <t>21,571.87 MM</t>
  </si>
  <si>
    <t>CL</t>
  </si>
  <si>
    <t>CL220121C00082500</t>
  </si>
  <si>
    <t>Colgate-Palmolive Company</t>
  </si>
  <si>
    <t>64,984.77 MM</t>
  </si>
  <si>
    <t>CME211217C00220000</t>
  </si>
  <si>
    <t>CME Group Inc.</t>
  </si>
  <si>
    <t>71,112.91 MM</t>
  </si>
  <si>
    <t>EQ(798)</t>
  </si>
  <si>
    <t>798</t>
  </si>
  <si>
    <t>158011.98</t>
  </si>
  <si>
    <t>CMG</t>
  </si>
  <si>
    <t>CMG211217C02300000</t>
  </si>
  <si>
    <t>Chipotle Mexican Grill Inc.</t>
  </si>
  <si>
    <t>54,426.00 MM</t>
  </si>
  <si>
    <t>COIN211217C00320000</t>
  </si>
  <si>
    <t>Coinbase Global Inc.</t>
  </si>
  <si>
    <t>60,713.66 MM</t>
  </si>
  <si>
    <t>IN(1,640) EQ(2,956)</t>
  </si>
  <si>
    <t>EQ(--50)</t>
  </si>
  <si>
    <t>2956</t>
  </si>
  <si>
    <t>685259.94</t>
  </si>
  <si>
    <t>COTY220121C00011000</t>
  </si>
  <si>
    <t>Coty Inc.</t>
  </si>
  <si>
    <t>6,536.69 MM</t>
  </si>
  <si>
    <t>OP(191,603)</t>
  </si>
  <si>
    <t>CRM211217C00330000</t>
  </si>
  <si>
    <t>salesforce.com inc.</t>
  </si>
  <si>
    <t>279,631.79 MM</t>
  </si>
  <si>
    <t>IN(3,119) EQ(3,433)</t>
  </si>
  <si>
    <t>IN(-31) EQ(-34)</t>
  </si>
  <si>
    <t>3433</t>
  </si>
  <si>
    <t>980567.81</t>
  </si>
  <si>
    <t>CSU.TO</t>
  </si>
  <si>
    <t>Constellation Software Inc.</t>
  </si>
  <si>
    <t>TOR</t>
  </si>
  <si>
    <t>46,145.34 MM</t>
  </si>
  <si>
    <t>IN(199) EQ(239)</t>
  </si>
  <si>
    <t>239</t>
  </si>
  <si>
    <t>411343.72</t>
  </si>
  <si>
    <t>CTVA211217C00047000</t>
  </si>
  <si>
    <t>Corteva Inc.</t>
  </si>
  <si>
    <t>31,063.37 MM</t>
  </si>
  <si>
    <t>IN(10,050) EQ(8,648)</t>
  </si>
  <si>
    <t>8648</t>
  </si>
  <si>
    <t>365896.89</t>
  </si>
  <si>
    <t>DB1.DE</t>
  </si>
  <si>
    <t>Deutsche BÃ¶rse AG</t>
  </si>
  <si>
    <t>26,399.50 MM</t>
  </si>
  <si>
    <t>IN(4,198) EQ(3,630)</t>
  </si>
  <si>
    <t>3630</t>
  </si>
  <si>
    <t>611876.64</t>
  </si>
  <si>
    <t>DD</t>
  </si>
  <si>
    <t>DD220121C00077500</t>
  </si>
  <si>
    <t>DuPont de Nemours Inc.</t>
  </si>
  <si>
    <t>35,698.64 MM</t>
  </si>
  <si>
    <t>DEC.PA</t>
  </si>
  <si>
    <t>JCDecaux SA</t>
  </si>
  <si>
    <t>4,601.49 MM</t>
  </si>
  <si>
    <t>DHR</t>
  </si>
  <si>
    <t>DHR211217C00380000</t>
  </si>
  <si>
    <t>Danaher Corporation</t>
  </si>
  <si>
    <t>231,660.55 MM</t>
  </si>
  <si>
    <t>DIS</t>
  </si>
  <si>
    <t>DIS211217C00195000</t>
  </si>
  <si>
    <t>The Walt Disney Company</t>
  </si>
  <si>
    <t>319,814.89 MM</t>
  </si>
  <si>
    <t>DPZ</t>
  </si>
  <si>
    <t>DPZ211217C00560000</t>
  </si>
  <si>
    <t>Domino's Pizza Inc.</t>
  </si>
  <si>
    <t>18,052.66 MM</t>
  </si>
  <si>
    <t>DUFN.SW</t>
  </si>
  <si>
    <t>CHF</t>
  </si>
  <si>
    <t>EBS</t>
  </si>
  <si>
    <t>4,521.13 MM</t>
  </si>
  <si>
    <t>DXCM</t>
  </si>
  <si>
    <t>DXCM211217C00730000</t>
  </si>
  <si>
    <t>DexCom Inc.</t>
  </si>
  <si>
    <t>54,250.98 MM</t>
  </si>
  <si>
    <t>ECL</t>
  </si>
  <si>
    <t>ECL220121C00250000</t>
  </si>
  <si>
    <t>Ecolab Inc.</t>
  </si>
  <si>
    <t>64,017.69 MM</t>
  </si>
  <si>
    <t>EDU211217C00005000</t>
  </si>
  <si>
    <t>New Oriental Education &amp; Technology Group Inc.</t>
  </si>
  <si>
    <t>3,219.49 MM</t>
  </si>
  <si>
    <t>IN(174,984) OP(632,447) EQ(157,435)</t>
  </si>
  <si>
    <t>157435</t>
  </si>
  <si>
    <t>294403.45</t>
  </si>
  <si>
    <t>EFX</t>
  </si>
  <si>
    <t>EFX220121C00290000</t>
  </si>
  <si>
    <t>Equifax Inc.</t>
  </si>
  <si>
    <t>32,347.72 MM</t>
  </si>
  <si>
    <t>EL</t>
  </si>
  <si>
    <t>EL220121C00370000</t>
  </si>
  <si>
    <t>The EstÃ©e Lauder Companies Inc.</t>
  </si>
  <si>
    <t>115,846.68 MM</t>
  </si>
  <si>
    <t>EMR</t>
  </si>
  <si>
    <t>EMR211217C00105000</t>
  </si>
  <si>
    <t>Emerson Electric Co.</t>
  </si>
  <si>
    <t>57,574.12 MM</t>
  </si>
  <si>
    <t>ETSY211217C00300000</t>
  </si>
  <si>
    <t>Etsy Inc.</t>
  </si>
  <si>
    <t>28,207.69 MM</t>
  </si>
  <si>
    <t>IN(2,045) EQ(2,072)</t>
  </si>
  <si>
    <t>2072</t>
  </si>
  <si>
    <t>461745.21</t>
  </si>
  <si>
    <t>EVD.DE</t>
  </si>
  <si>
    <t>CTS Eventim AG &amp; Co. KGaA</t>
  </si>
  <si>
    <t>6,143.44 MM</t>
  </si>
  <si>
    <t>EXPN.L</t>
  </si>
  <si>
    <t>Experian plc</t>
  </si>
  <si>
    <t>GBp</t>
  </si>
  <si>
    <t>LSE</t>
  </si>
  <si>
    <t>30,261.78 MM</t>
  </si>
  <si>
    <t>FAST</t>
  </si>
  <si>
    <t>FAST220121C00059600</t>
  </si>
  <si>
    <t>Fastenal Company</t>
  </si>
  <si>
    <t>31,093.38 MM</t>
  </si>
  <si>
    <t>FB211217C00400000</t>
  </si>
  <si>
    <t>Facebook Inc.</t>
  </si>
  <si>
    <t>995,149.55 MM</t>
  </si>
  <si>
    <t>IN(2,122) EQ(1,959)</t>
  </si>
  <si>
    <t>IN(-21) EQ(-19)</t>
  </si>
  <si>
    <t>1959</t>
  </si>
  <si>
    <t>691448.62</t>
  </si>
  <si>
    <t>FLT220121C00270000</t>
  </si>
  <si>
    <t>FLEETCOR Technologies Inc.</t>
  </si>
  <si>
    <t>22,064.38 MM</t>
  </si>
  <si>
    <t>IN(2,020) EQ(1,956)</t>
  </si>
  <si>
    <t>1956</t>
  </si>
  <si>
    <t>522467.13</t>
  </si>
  <si>
    <t>FMX</t>
  </si>
  <si>
    <t>FMX220121C00090000</t>
  </si>
  <si>
    <t>Fomento EconÃ³mico Mexicano S.A.B. de C.V.</t>
  </si>
  <si>
    <t>31,674.49 MM</t>
  </si>
  <si>
    <t>FTDR220121C00045000</t>
  </si>
  <si>
    <t>Frontdoor Inc.</t>
  </si>
  <si>
    <t>3,628.82 MM</t>
  </si>
  <si>
    <t>IN(7,965) EQ(5,974)</t>
  </si>
  <si>
    <t>5974</t>
  </si>
  <si>
    <t>252819.68</t>
  </si>
  <si>
    <t>FTV</t>
  </si>
  <si>
    <t>FTV211217C00085000</t>
  </si>
  <si>
    <t>Fortive Corporation</t>
  </si>
  <si>
    <t>26,255.73 MM</t>
  </si>
  <si>
    <t>FUL</t>
  </si>
  <si>
    <t>FUL211119C00075000</t>
  </si>
  <si>
    <t>H.B. Fuller Company</t>
  </si>
  <si>
    <t>3,452.57 MM</t>
  </si>
  <si>
    <t>GDDY</t>
  </si>
  <si>
    <t>GDDY220121C00075000</t>
  </si>
  <si>
    <t>GoDaddy Inc.</t>
  </si>
  <si>
    <t>12,034.14 MM</t>
  </si>
  <si>
    <t>GGG</t>
  </si>
  <si>
    <t>GGG211119C00085000</t>
  </si>
  <si>
    <t>Graco Inc.</t>
  </si>
  <si>
    <t>12,474.34 MM</t>
  </si>
  <si>
    <t>GOOGL211217C03150000</t>
  </si>
  <si>
    <t>Alphabet Inc.</t>
  </si>
  <si>
    <t>1,900,387.76 MM</t>
  </si>
  <si>
    <t>IN(97) EQ(168)</t>
  </si>
  <si>
    <t>168</t>
  </si>
  <si>
    <t>477842.41</t>
  </si>
  <si>
    <t>GRF.MC</t>
  </si>
  <si>
    <t>Grifols S.A.</t>
  </si>
  <si>
    <t>12,788.03 MM</t>
  </si>
  <si>
    <t>GRMN220121C00175000</t>
  </si>
  <si>
    <t>Garmin Ltd.</t>
  </si>
  <si>
    <t>33,198.62 MM</t>
  </si>
  <si>
    <t>IN(59)</t>
  </si>
  <si>
    <t>HEIA.AS</t>
  </si>
  <si>
    <t>Heineken N.V.</t>
  </si>
  <si>
    <t>52,000.84 MM</t>
  </si>
  <si>
    <t>IN(4,108) EQ(2,630)</t>
  </si>
  <si>
    <t>2630</t>
  </si>
  <si>
    <t>278347.32</t>
  </si>
  <si>
    <t>HHC</t>
  </si>
  <si>
    <t>HHC220121C00110000</t>
  </si>
  <si>
    <t>The Howard Hughes Corporation</t>
  </si>
  <si>
    <t>4,846.70 MM</t>
  </si>
  <si>
    <t>HON</t>
  </si>
  <si>
    <t>HON211217C00240000</t>
  </si>
  <si>
    <t>Honeywell International Inc.</t>
  </si>
  <si>
    <t>151,328.56 MM</t>
  </si>
  <si>
    <t>HUYA</t>
  </si>
  <si>
    <t>HUYA220121C00014000</t>
  </si>
  <si>
    <t>HUYA Inc.</t>
  </si>
  <si>
    <t>1,977.41 MM</t>
  </si>
  <si>
    <t>ILMN</t>
  </si>
  <si>
    <t>ILMN211217C00560000</t>
  </si>
  <si>
    <t>Illumina Inc.</t>
  </si>
  <si>
    <t>67,736.33 MM</t>
  </si>
  <si>
    <t>INFO</t>
  </si>
  <si>
    <t>INFO220121C00135000</t>
  </si>
  <si>
    <t>IHS Markit Ltd.</t>
  </si>
  <si>
    <t>49,655.10 MM</t>
  </si>
  <si>
    <t>INTU</t>
  </si>
  <si>
    <t>INTU211217C00640000</t>
  </si>
  <si>
    <t>Intuit Inc.</t>
  </si>
  <si>
    <t>157,825.32 MM</t>
  </si>
  <si>
    <t>IPGP</t>
  </si>
  <si>
    <t>IPGP220121C00170000</t>
  </si>
  <si>
    <t>IPG Photonics Corporation</t>
  </si>
  <si>
    <t>8,787.95 MM</t>
  </si>
  <si>
    <t>ISRG</t>
  </si>
  <si>
    <t>ISRG220121C01200000</t>
  </si>
  <si>
    <t>Intuitive Surgical Inc.</t>
  </si>
  <si>
    <t>124,146.88 MM</t>
  </si>
  <si>
    <t>IT</t>
  </si>
  <si>
    <t>IT211217C00420000</t>
  </si>
  <si>
    <t>Gartner Inc.</t>
  </si>
  <si>
    <t>27,159.93 MM</t>
  </si>
  <si>
    <t>ITW</t>
  </si>
  <si>
    <t>ITW211217C00230000</t>
  </si>
  <si>
    <t>Illinois Tool Works Inc.</t>
  </si>
  <si>
    <t>68,014.19 MM</t>
  </si>
  <si>
    <t>JKHY211217C00180000</t>
  </si>
  <si>
    <t>Jack Henry &amp; Associates Inc.</t>
  </si>
  <si>
    <t>12,684.52 MM</t>
  </si>
  <si>
    <t>IN(2,523) EQ(2,318)</t>
  </si>
  <si>
    <t>IN(-25) EQ(-23)</t>
  </si>
  <si>
    <t>2318</t>
  </si>
  <si>
    <t>397258.85</t>
  </si>
  <si>
    <t>JNJ</t>
  </si>
  <si>
    <t>JNJ211217C00175000</t>
  </si>
  <si>
    <t>Johnson &amp; Johnson</t>
  </si>
  <si>
    <t>432,674.41 MM</t>
  </si>
  <si>
    <t>KOF</t>
  </si>
  <si>
    <t>KOF211119C00060000</t>
  </si>
  <si>
    <t>Coca-Cola FEMSA S.A.B. de C.V.</t>
  </si>
  <si>
    <t>12,098.68 MM</t>
  </si>
  <si>
    <t>KRN.DE</t>
  </si>
  <si>
    <t>2,761.24 MM</t>
  </si>
  <si>
    <t>OP(1,081)</t>
  </si>
  <si>
    <t>LIN</t>
  </si>
  <si>
    <t>LIN211217C00330000</t>
  </si>
  <si>
    <t>Linde plc</t>
  </si>
  <si>
    <t>160,221.69 MM</t>
  </si>
  <si>
    <t>LMT211217C00375000</t>
  </si>
  <si>
    <t>Lockheed Martin Corporation</t>
  </si>
  <si>
    <t>96,787.68 MM</t>
  </si>
  <si>
    <t>IN(774) EQ(1,012)</t>
  </si>
  <si>
    <t>1012</t>
  </si>
  <si>
    <t>353714.23</t>
  </si>
  <si>
    <t>LONN.SW</t>
  </si>
  <si>
    <t>Lonza Group Ltd</t>
  </si>
  <si>
    <t>55,162.63 MM</t>
  </si>
  <si>
    <t>LYFT</t>
  </si>
  <si>
    <t>LYFT211217C00070000</t>
  </si>
  <si>
    <t>Lyft Inc.</t>
  </si>
  <si>
    <t>18,728.40 MM</t>
  </si>
  <si>
    <t>MA</t>
  </si>
  <si>
    <t>MA211217C00395000</t>
  </si>
  <si>
    <t>Mastercard Incorporated</t>
  </si>
  <si>
    <t>353,423.33 MM</t>
  </si>
  <si>
    <t>MANU</t>
  </si>
  <si>
    <t>MANU211217C00023000</t>
  </si>
  <si>
    <t>Manchester United plc</t>
  </si>
  <si>
    <t>3,254.99 MM</t>
  </si>
  <si>
    <t>MCHP</t>
  </si>
  <si>
    <t>MCHP220121C00195000</t>
  </si>
  <si>
    <t>Microchip Technology Incorporated</t>
  </si>
  <si>
    <t>45,298.81 MM</t>
  </si>
  <si>
    <t>MCO</t>
  </si>
  <si>
    <t>MCO211217C00450000</t>
  </si>
  <si>
    <t>Moody's Corporation</t>
  </si>
  <si>
    <t>70,061.47 MM</t>
  </si>
  <si>
    <t>MDLZ</t>
  </si>
  <si>
    <t>MDLZ211217C00065000</t>
  </si>
  <si>
    <t>Mondelez International Inc.</t>
  </si>
  <si>
    <t>84,372.41 MM</t>
  </si>
  <si>
    <t>ME211217C00015000</t>
  </si>
  <si>
    <t>23andMe Holding Co.</t>
  </si>
  <si>
    <t>3,774.97 MM</t>
  </si>
  <si>
    <t>IN(55,742) EQ(61,633)</t>
  </si>
  <si>
    <t>61633</t>
  </si>
  <si>
    <t>571954.24</t>
  </si>
  <si>
    <t>MELI211217C02300000</t>
  </si>
  <si>
    <t>MercadoLibre Inc.</t>
  </si>
  <si>
    <t>92,941.80 MM</t>
  </si>
  <si>
    <t>IN(353) EQ(269)</t>
  </si>
  <si>
    <t>269</t>
  </si>
  <si>
    <t>502927.78</t>
  </si>
  <si>
    <t>MKTX</t>
  </si>
  <si>
    <t>MKTX211119C00580000</t>
  </si>
  <si>
    <t>MarketAxess Holdings Inc.</t>
  </si>
  <si>
    <t>16,112.17 MM</t>
  </si>
  <si>
    <t>MLM</t>
  </si>
  <si>
    <t>MLM211217C00400000</t>
  </si>
  <si>
    <t>Martin Marietta Materials Inc.</t>
  </si>
  <si>
    <t>21,894.43 MM</t>
  </si>
  <si>
    <t>MMM</t>
  </si>
  <si>
    <t>MMM220121C00200000</t>
  </si>
  <si>
    <t>3M Company</t>
  </si>
  <si>
    <t>104,756.63 MM</t>
  </si>
  <si>
    <t>MRNA220121C00640000</t>
  </si>
  <si>
    <t>Moderna Inc.</t>
  </si>
  <si>
    <t>173,624.30 MM</t>
  </si>
  <si>
    <t>EQ(441)</t>
  </si>
  <si>
    <t>441</t>
  </si>
  <si>
    <t>189691.75</t>
  </si>
  <si>
    <t>MSCI</t>
  </si>
  <si>
    <t>MSCI211217C00740000</t>
  </si>
  <si>
    <t>MSCI Inc.</t>
  </si>
  <si>
    <t>54,524.87 MM</t>
  </si>
  <si>
    <t>MSFT211217C00320000</t>
  </si>
  <si>
    <t>Microsoft Corporation</t>
  </si>
  <si>
    <t>2,249,582.44 MM</t>
  </si>
  <si>
    <t>IN(1,732) EQ(1,709)</t>
  </si>
  <si>
    <t>1709</t>
  </si>
  <si>
    <t>511589.16</t>
  </si>
  <si>
    <t>MSGN</t>
  </si>
  <si>
    <t>MTB</t>
  </si>
  <si>
    <t>MTB220121C00165000</t>
  </si>
  <si>
    <t>M&amp;T Bank Corporation</t>
  </si>
  <si>
    <t>18,434.41 MM</t>
  </si>
  <si>
    <t>MTN</t>
  </si>
  <si>
    <t>MTN220121C00390000</t>
  </si>
  <si>
    <t>Vail Resorts Inc.</t>
  </si>
  <si>
    <t>14,180.36 MM</t>
  </si>
  <si>
    <t>MTX.DE</t>
  </si>
  <si>
    <t>10,589.16 MM</t>
  </si>
  <si>
    <t>IN(2,974) OP(4,247) EQ(2,778)</t>
  </si>
  <si>
    <t>2778</t>
  </si>
  <si>
    <t>647462.13</t>
  </si>
  <si>
    <t>NDSN</t>
  </si>
  <si>
    <t>NDSN211217C00270000</t>
  </si>
  <si>
    <t>Nordson Corporation</t>
  </si>
  <si>
    <t>14,173.57 MM</t>
  </si>
  <si>
    <t>NOK</t>
  </si>
  <si>
    <t>NOK211217C00007000</t>
  </si>
  <si>
    <t>Nokia Corporation</t>
  </si>
  <si>
    <t>31,585.76 MM</t>
  </si>
  <si>
    <t>NTES</t>
  </si>
  <si>
    <t>NTES211217C00105000</t>
  </si>
  <si>
    <t>NetEase Inc.</t>
  </si>
  <si>
    <t>54,640.47 MM</t>
  </si>
  <si>
    <t>NVDA</t>
  </si>
  <si>
    <t>NVDA211217C00267500</t>
  </si>
  <si>
    <t>NVIDIA Corporation</t>
  </si>
  <si>
    <t>550,258.54 MM</t>
  </si>
  <si>
    <t>OI</t>
  </si>
  <si>
    <t>OI211217C00017000</t>
  </si>
  <si>
    <t>O-I Glass Inc.</t>
  </si>
  <si>
    <t>2,157.94 MM</t>
  </si>
  <si>
    <t>OTIS</t>
  </si>
  <si>
    <t>OTIS211217C00095000</t>
  </si>
  <si>
    <t>Otis Worldwide Corporation</t>
  </si>
  <si>
    <t>36,216.47 MM</t>
  </si>
  <si>
    <t>PANW</t>
  </si>
  <si>
    <t>PANW211217C00560000</t>
  </si>
  <si>
    <t>Palo Alto Networks Inc.</t>
  </si>
  <si>
    <t>47,774.77 MM</t>
  </si>
  <si>
    <t>PAYX</t>
  </si>
  <si>
    <t>PAYX211217C00120000</t>
  </si>
  <si>
    <t>Paychex Inc.</t>
  </si>
  <si>
    <t>39,660.99 MM</t>
  </si>
  <si>
    <t>PDD220121C00135000</t>
  </si>
  <si>
    <t>Pinduoduo Inc.</t>
  </si>
  <si>
    <t>118,498.57 MM</t>
  </si>
  <si>
    <t>EQ(5,253)</t>
  </si>
  <si>
    <t>5253</t>
  </si>
  <si>
    <t>496671.17</t>
  </si>
  <si>
    <t>PEP211217C00160000</t>
  </si>
  <si>
    <t>PepsiCo Inc.</t>
  </si>
  <si>
    <t>213,121.35 MM</t>
  </si>
  <si>
    <t>IN(748) EQ(38)</t>
  </si>
  <si>
    <t>IN(-7)</t>
  </si>
  <si>
    <t>38</t>
  </si>
  <si>
    <t>5859.60</t>
  </si>
  <si>
    <t>PFPT</t>
  </si>
  <si>
    <t>20210923</t>
  </si>
  <si>
    <t>PH</t>
  </si>
  <si>
    <t>PH211119C00380000</t>
  </si>
  <si>
    <t>Parker-Hannifin Corporation</t>
  </si>
  <si>
    <t>37,160.43 MM</t>
  </si>
  <si>
    <t>PLAY211217C00060000</t>
  </si>
  <si>
    <t>Dave &amp; Buster's Entertainment Inc.</t>
  </si>
  <si>
    <t>2,006.50 MM</t>
  </si>
  <si>
    <t>OP(44,935)</t>
  </si>
  <si>
    <t>PXD</t>
  </si>
  <si>
    <t>PXD211217C00190000</t>
  </si>
  <si>
    <t>Pioneer Natural Resources Company</t>
  </si>
  <si>
    <t>39,528.68 MM</t>
  </si>
  <si>
    <t>PYPL</t>
  </si>
  <si>
    <t>PYPL211217C00320000</t>
  </si>
  <si>
    <t>PayPal Holdings Inc.</t>
  </si>
  <si>
    <t>326,787.60 MM</t>
  </si>
  <si>
    <t>RACE</t>
  </si>
  <si>
    <t>RACE211217C00240000</t>
  </si>
  <si>
    <t>Ferrari N.V.</t>
  </si>
  <si>
    <t>53,404.05 MM</t>
  </si>
  <si>
    <t>RADL3.SA</t>
  </si>
  <si>
    <t>Raia Drogasil S.A.</t>
  </si>
  <si>
    <t>41,881.06 MM</t>
  </si>
  <si>
    <t>RBLX211217C00115000</t>
  </si>
  <si>
    <t>Roblox Corporation</t>
  </si>
  <si>
    <t>47,864.15 MM</t>
  </si>
  <si>
    <t>IN(6,439) EQ(7,590)</t>
  </si>
  <si>
    <t>EQ(--</t>
  </si>
  <si>
    <t>155)</t>
  </si>
  <si>
    <t>7590</t>
  </si>
  <si>
    <t>REAL220121C00020000</t>
  </si>
  <si>
    <t>The RealReal Inc.</t>
  </si>
  <si>
    <t>1,244.40 MM</t>
  </si>
  <si>
    <t>IN(17,888) OP(150,054) EQ(19,383)</t>
  </si>
  <si>
    <t>19383</t>
  </si>
  <si>
    <t>263414.97</t>
  </si>
  <si>
    <t>RGEN</t>
  </si>
  <si>
    <t>RGEN211217C00420000</t>
  </si>
  <si>
    <t>Repligen Corporation</t>
  </si>
  <si>
    <t>17,771.93 MM</t>
  </si>
  <si>
    <t>RH211217C00860000</t>
  </si>
  <si>
    <t>14,704.29 MM</t>
  </si>
  <si>
    <t>IN(661) EQ(981)</t>
  </si>
  <si>
    <t>981</t>
  </si>
  <si>
    <t>673633.07</t>
  </si>
  <si>
    <t>RI.PA</t>
  </si>
  <si>
    <t>49,938.37 MM</t>
  </si>
  <si>
    <t>EQ(344)</t>
  </si>
  <si>
    <t>344</t>
  </si>
  <si>
    <t>77152.10</t>
  </si>
  <si>
    <t>ROK</t>
  </si>
  <si>
    <t>ROK211217C00330000</t>
  </si>
  <si>
    <t>Rockwell Automation Inc.</t>
  </si>
  <si>
    <t>35,105.99 MM</t>
  </si>
  <si>
    <t>ROP211119C00530000</t>
  </si>
  <si>
    <t>Roper Technologies Inc.</t>
  </si>
  <si>
    <t>49,127.58 MM</t>
  </si>
  <si>
    <t>IN(773) EQ(844)</t>
  </si>
  <si>
    <t>844</t>
  </si>
  <si>
    <t>393304.00</t>
  </si>
  <si>
    <t>RPM</t>
  </si>
  <si>
    <t>RPM211119C00085000</t>
  </si>
  <si>
    <t>RPM International Inc.</t>
  </si>
  <si>
    <t>10,280.54 MM</t>
  </si>
  <si>
    <t>RTX</t>
  </si>
  <si>
    <t>RTX220121C00095000</t>
  </si>
  <si>
    <t>Raytheon Technologies Corporation</t>
  </si>
  <si>
    <t>131,426.82 MM</t>
  </si>
  <si>
    <t>SABR211217C00016000</t>
  </si>
  <si>
    <t>Sabre Corporation</t>
  </si>
  <si>
    <t>3,936.42 MM</t>
  </si>
  <si>
    <t>OP(107,729)</t>
  </si>
  <si>
    <t>SAM</t>
  </si>
  <si>
    <t>SAM211217C00660000</t>
  </si>
  <si>
    <t>The Boston Beer Company Inc.</t>
  </si>
  <si>
    <t>6,320.09 MM</t>
  </si>
  <si>
    <t>SBUX</t>
  </si>
  <si>
    <t>SBUX211217C00125000</t>
  </si>
  <si>
    <t>Starbucks Corporation</t>
  </si>
  <si>
    <t>134,547.10 MM</t>
  </si>
  <si>
    <t>SFER.MI</t>
  </si>
  <si>
    <t>Salvatore Ferragamo S.p.A.</t>
  </si>
  <si>
    <t>3,022.87 MM</t>
  </si>
  <si>
    <t>SHOP</t>
  </si>
  <si>
    <t>SHOP211217C01780000</t>
  </si>
  <si>
    <t>Shopify Inc.</t>
  </si>
  <si>
    <t>178,196.82 MM</t>
  </si>
  <si>
    <t>SHW</t>
  </si>
  <si>
    <t>SHW211217C00320000</t>
  </si>
  <si>
    <t>The Sherwin-Williams Company</t>
  </si>
  <si>
    <t>76,831.52 MM</t>
  </si>
  <si>
    <t>SMWH.L</t>
  </si>
  <si>
    <t>WH Smith PLC</t>
  </si>
  <si>
    <t>2,241.16 MM</t>
  </si>
  <si>
    <t>SNPS</t>
  </si>
  <si>
    <t>SNPS211217C00350000</t>
  </si>
  <si>
    <t>Synopsys Inc.</t>
  </si>
  <si>
    <t>49,096.82 MM</t>
  </si>
  <si>
    <t>SONO</t>
  </si>
  <si>
    <t>SONO211217C00050000</t>
  </si>
  <si>
    <t>Sonos Inc.</t>
  </si>
  <si>
    <t>4,523.98 MM</t>
  </si>
  <si>
    <t>SPGI</t>
  </si>
  <si>
    <t>SPGI220121C00500000</t>
  </si>
  <si>
    <t>S&amp;P Global Inc.</t>
  </si>
  <si>
    <t>109,192.27 MM</t>
  </si>
  <si>
    <t>SPOT220121C00290000</t>
  </si>
  <si>
    <t>Spotify Technology S.A.</t>
  </si>
  <si>
    <t>44,050.15 MM</t>
  </si>
  <si>
    <t>SPLK</t>
  </si>
  <si>
    <t>SPLK211217C00185000</t>
  </si>
  <si>
    <t>Splunk Inc.</t>
  </si>
  <si>
    <t>24,412.83 MM</t>
  </si>
  <si>
    <t>SQ</t>
  </si>
  <si>
    <t>SQ211217C00320000</t>
  </si>
  <si>
    <t>Square Inc.</t>
  </si>
  <si>
    <t>120,670.72 MM</t>
  </si>
  <si>
    <t>STZ</t>
  </si>
  <si>
    <t>STZ220121C00235000</t>
  </si>
  <si>
    <t>Constellation Brands Inc.</t>
  </si>
  <si>
    <t>40,808.58 MM</t>
  </si>
  <si>
    <t>SWKS</t>
  </si>
  <si>
    <t>SWKS220121C00200000</t>
  </si>
  <si>
    <t>Skyworks Solutions Inc.</t>
  </si>
  <si>
    <t>28,512.28 MM</t>
  </si>
  <si>
    <t>SWMA.ST</t>
  </si>
  <si>
    <t>Swedish Match AB (publ)</t>
  </si>
  <si>
    <t>SEK</t>
  </si>
  <si>
    <t>STO</t>
  </si>
  <si>
    <t>125,155.79 MM</t>
  </si>
  <si>
    <t>IN(47,002) EQ(45,280)</t>
  </si>
  <si>
    <t>45280</t>
  </si>
  <si>
    <t>418681.34</t>
  </si>
  <si>
    <t>SYK</t>
  </si>
  <si>
    <t>SYK211217C00300000</t>
  </si>
  <si>
    <t>Stryker Corporation</t>
  </si>
  <si>
    <t>104,319.84 MM</t>
  </si>
  <si>
    <t>TAL220121C00012500</t>
  </si>
  <si>
    <t>2,914.86 MM</t>
  </si>
  <si>
    <t>IN(78,037) OP(377,468) EQ(53,916)</t>
  </si>
  <si>
    <t>OP(--5</t>
  </si>
  <si>
    <t>100) EQ(--</t>
  </si>
  <si>
    <t>960)</t>
  </si>
  <si>
    <t>TCOM211217C00037000</t>
  </si>
  <si>
    <t>Trip.com Group Limited</t>
  </si>
  <si>
    <t>18,588.61 MM</t>
  </si>
  <si>
    <t>IN(10,338)</t>
  </si>
  <si>
    <t>IN(-103)</t>
  </si>
  <si>
    <t>TOD.MI</t>
  </si>
  <si>
    <t>TOD'S S.p.A.</t>
  </si>
  <si>
    <t>1,528.26 MM</t>
  </si>
  <si>
    <t>TRUL.CN</t>
  </si>
  <si>
    <t>Trulieve Cannabis Corp.</t>
  </si>
  <si>
    <t>CNQ</t>
  </si>
  <si>
    <t>6,825.18 MM</t>
  </si>
  <si>
    <t>TSLA</t>
  </si>
  <si>
    <t>TSLA211217C00950000</t>
  </si>
  <si>
    <t>Tesla Inc.</t>
  </si>
  <si>
    <t>775,760.64 MM</t>
  </si>
  <si>
    <t>TYL</t>
  </si>
  <si>
    <t>TYL211217C00540000</t>
  </si>
  <si>
    <t>Tyler Technologies Inc.</t>
  </si>
  <si>
    <t>19,707.35 MM</t>
  </si>
  <si>
    <t>UBER211217C00060000</t>
  </si>
  <si>
    <t>Uber Technologies Inc.</t>
  </si>
  <si>
    <t>87,867.24 MM</t>
  </si>
  <si>
    <t>IN(15,355) EQ(17,681)</t>
  </si>
  <si>
    <t>17681</t>
  </si>
  <si>
    <t>824465.05</t>
  </si>
  <si>
    <t>UNP</t>
  </si>
  <si>
    <t>UNP211217C00220000</t>
  </si>
  <si>
    <t>Union Pacific Corporation</t>
  </si>
  <si>
    <t>132,902.67 MM</t>
  </si>
  <si>
    <t>URI</t>
  </si>
  <si>
    <t>URI211217C00420000</t>
  </si>
  <si>
    <t>United Rentals Inc.</t>
  </si>
  <si>
    <t>25,807.79 MM</t>
  </si>
  <si>
    <t>V211217C00250000</t>
  </si>
  <si>
    <t>Visa Inc.</t>
  </si>
  <si>
    <t>508,198.78 MM</t>
  </si>
  <si>
    <t>IN(2,132) EQ(2,315)</t>
  </si>
  <si>
    <t>IN(-17) EQ(-14)</t>
  </si>
  <si>
    <t>2315</t>
  </si>
  <si>
    <t>536130.84</t>
  </si>
  <si>
    <t>VNET</t>
  </si>
  <si>
    <t>VNET211217C00025000</t>
  </si>
  <si>
    <t>21Vianet Group Inc.</t>
  </si>
  <si>
    <t>2,538.83 MM</t>
  </si>
  <si>
    <t>VRSK</t>
  </si>
  <si>
    <t>VRSK211217C00230000</t>
  </si>
  <si>
    <t>Verisk Analytics Inc.</t>
  </si>
  <si>
    <t>33,555.96 MM</t>
  </si>
  <si>
    <t>VRSN</t>
  </si>
  <si>
    <t>VRSN211217C00240000</t>
  </si>
  <si>
    <t>VeriSign Inc.</t>
  </si>
  <si>
    <t>24,362.80 MM</t>
  </si>
  <si>
    <t>WAT</t>
  </si>
  <si>
    <t>WAT211217C00440000</t>
  </si>
  <si>
    <t>Waters Corporation</t>
  </si>
  <si>
    <t>24,151.41 MM</t>
  </si>
  <si>
    <t>WDAY211217C00310000</t>
  </si>
  <si>
    <t>Workday Inc.</t>
  </si>
  <si>
    <t>66,570.64 MM</t>
  </si>
  <si>
    <t>IN(2,299) EQ(3,172)</t>
  </si>
  <si>
    <t>IN(-18) EQ(-25)</t>
  </si>
  <si>
    <t>3172</t>
  </si>
  <si>
    <t>851459.94</t>
  </si>
  <si>
    <t>WYNN211217C00110000</t>
  </si>
  <si>
    <t>Wynn Resorts Limited</t>
  </si>
  <si>
    <t>9,586.89 MM</t>
  </si>
  <si>
    <t>EQ(-58)</t>
  </si>
  <si>
    <t>XRAY</t>
  </si>
  <si>
    <t>XRAY220121C00067500</t>
  </si>
  <si>
    <t>DENTSPLY SIRONA Inc.</t>
  </si>
  <si>
    <t>13,115.25 MM</t>
  </si>
  <si>
    <t>YUM</t>
  </si>
  <si>
    <t>YUM220121C00135000</t>
  </si>
  <si>
    <t>Yum! Brands Inc.</t>
  </si>
  <si>
    <t>37,109.61 MM</t>
  </si>
  <si>
    <t>ZTS</t>
  </si>
  <si>
    <t>ZTS220121C00230000</t>
  </si>
  <si>
    <t>Zoetis Inc.</t>
  </si>
  <si>
    <t>97,303.26 MM</t>
  </si>
  <si>
    <t>SPY211217C00460000</t>
  </si>
  <si>
    <t>PCX</t>
  </si>
  <si>
    <t>407,412.60 MM</t>
  </si>
  <si>
    <t>URTH</t>
  </si>
  <si>
    <t>URTH211217C00134000</t>
  </si>
  <si>
    <t>iShares Inc. - iShares MSCI World ETF</t>
  </si>
  <si>
    <t>901.00 MM</t>
  </si>
  <si>
    <t>XWD</t>
  </si>
  <si>
    <t>XUS</t>
  </si>
  <si>
    <t>Security</t>
  </si>
  <si>
    <t>Side</t>
  </si>
  <si>
    <t>Position</t>
  </si>
  <si>
    <t>Quantity</t>
  </si>
  <si>
    <t>Fund</t>
  </si>
  <si>
    <t>Calls/Puts</t>
  </si>
  <si>
    <t>Month</t>
  </si>
  <si>
    <t>Date</t>
  </si>
  <si>
    <t>Year</t>
  </si>
  <si>
    <t>Ask</t>
  </si>
  <si>
    <t>SHORT</t>
  </si>
  <si>
    <t>Open</t>
  </si>
  <si>
    <t>BDEQ</t>
  </si>
  <si>
    <t>Weibull Fitting</t>
  </si>
  <si>
    <t>Weibull Parameters</t>
  </si>
  <si>
    <t>Uniform Fitting</t>
  </si>
  <si>
    <t>Uniform Parameters</t>
  </si>
  <si>
    <t>MONTE CARLO SIMULATION</t>
  </si>
  <si>
    <t>Quarterback</t>
  </si>
  <si>
    <t>Median Yards</t>
  </si>
  <si>
    <t>Prop Line</t>
  </si>
  <si>
    <t>Over %</t>
  </si>
  <si>
    <t>Under %</t>
  </si>
  <si>
    <t>Over Price</t>
  </si>
  <si>
    <t>Under Price</t>
  </si>
  <si>
    <t>Value Over</t>
  </si>
  <si>
    <t>Value Under</t>
  </si>
  <si>
    <t>Y/A</t>
  </si>
  <si>
    <t>Log Likelihood</t>
  </si>
  <si>
    <t>ALPHA (SIZE)</t>
  </si>
  <si>
    <t>Attempts</t>
  </si>
  <si>
    <t>MIN</t>
  </si>
  <si>
    <t>Yards/Attempt Sim</t>
  </si>
  <si>
    <t>Pass Attempt Sim</t>
  </si>
  <si>
    <t>Defense ADJ%</t>
  </si>
  <si>
    <t>Expected Return</t>
  </si>
  <si>
    <t>O/U Count</t>
  </si>
  <si>
    <t>Garoppolo</t>
  </si>
  <si>
    <t>BETA (SHAPE)</t>
  </si>
  <si>
    <t>MAX</t>
  </si>
  <si>
    <t>N</t>
  </si>
  <si>
    <t>MLE</t>
  </si>
  <si>
    <t>SUM</t>
  </si>
  <si>
    <t>Opp</t>
  </si>
  <si>
    <t>Y/A Against</t>
  </si>
  <si>
    <t>League Average</t>
  </si>
  <si>
    <t>Def ADJ%</t>
  </si>
  <si>
    <t>KAN</t>
  </si>
  <si>
    <t>Value at Risk</t>
  </si>
  <si>
    <t>Delta-Gamma Method</t>
  </si>
  <si>
    <t>Parameters</t>
  </si>
  <si>
    <t>Share Price</t>
  </si>
  <si>
    <t>Strike Price</t>
  </si>
  <si>
    <t>Estimated Extreme Move</t>
  </si>
  <si>
    <t>Risk Free Rate</t>
  </si>
  <si>
    <t>Dividend Yield</t>
  </si>
  <si>
    <t>Time to Maturity (years)</t>
  </si>
  <si>
    <t>Volatility / year</t>
  </si>
  <si>
    <t>Results</t>
  </si>
  <si>
    <t>Option Value</t>
  </si>
  <si>
    <t>Delta</t>
  </si>
  <si>
    <t>Gamma</t>
  </si>
  <si>
    <t>Call</t>
  </si>
  <si>
    <t>Put</t>
  </si>
  <si>
    <t>Intermediate Calculations</t>
  </si>
  <si>
    <t>dt</t>
  </si>
  <si>
    <t>done</t>
  </si>
  <si>
    <t>dtwo</t>
  </si>
  <si>
    <t>ndone</t>
  </si>
  <si>
    <t>ndtwo</t>
  </si>
  <si>
    <t>nndone</t>
  </si>
  <si>
    <t>nndtwo</t>
  </si>
  <si>
    <t>nnone</t>
  </si>
  <si>
    <t>Spot Price</t>
  </si>
  <si>
    <t>Risk-Free Rate</t>
  </si>
  <si>
    <t>Expiry Time</t>
  </si>
  <si>
    <t>Call Price</t>
  </si>
  <si>
    <t>Put Price</t>
  </si>
  <si>
    <t>Result</t>
  </si>
  <si>
    <t>Implied Dividend</t>
  </si>
  <si>
    <t>LastUpdated:</t>
  </si>
  <si>
    <t>CRM.US</t>
  </si>
  <si>
    <t>AMZN.US</t>
  </si>
  <si>
    <t>FB.US</t>
  </si>
  <si>
    <t>AMS.SM</t>
  </si>
  <si>
    <t>UBER.US</t>
  </si>
  <si>
    <t>DB1.GR</t>
  </si>
  <si>
    <t>MTX.GR</t>
  </si>
  <si>
    <t>AENA.SM</t>
  </si>
  <si>
    <t>MELI.US</t>
  </si>
  <si>
    <t>ALSEA*.MM</t>
  </si>
  <si>
    <t>WDAY.US</t>
  </si>
  <si>
    <t>CBOE.US</t>
  </si>
  <si>
    <t>ANGI.US</t>
  </si>
  <si>
    <t>AAPL.US</t>
  </si>
  <si>
    <t>FLT.US</t>
  </si>
  <si>
    <t>RBLX.US</t>
  </si>
  <si>
    <t>MSFT.US</t>
  </si>
  <si>
    <t>ME.US</t>
  </si>
  <si>
    <t>AC*.MM</t>
  </si>
  <si>
    <t>V.US</t>
  </si>
  <si>
    <t>ETSY.US</t>
  </si>
  <si>
    <t>RH.US</t>
  </si>
  <si>
    <t>AMT.US</t>
  </si>
  <si>
    <t>AON.US</t>
  </si>
  <si>
    <t>SWMA.SS</t>
  </si>
  <si>
    <t>HEIA.NA</t>
  </si>
  <si>
    <t>JKHY.US</t>
  </si>
  <si>
    <t>CTVA.US</t>
  </si>
  <si>
    <t>PRX.NA</t>
  </si>
  <si>
    <t>BABA.US</t>
  </si>
  <si>
    <t>AVGO.US</t>
  </si>
  <si>
    <t>COIN.US</t>
  </si>
  <si>
    <t>ROP.US</t>
  </si>
  <si>
    <t>TAL.US</t>
  </si>
  <si>
    <t>CSU.CN</t>
  </si>
  <si>
    <t>FTDR.US</t>
  </si>
  <si>
    <t>EDU.US</t>
  </si>
  <si>
    <t>8697.JP</t>
  </si>
  <si>
    <t>9901.HK</t>
  </si>
  <si>
    <t>TCOM.US</t>
  </si>
  <si>
    <t>GOOGL.US</t>
  </si>
  <si>
    <t>LMT.US</t>
  </si>
  <si>
    <t>BIIB.US</t>
  </si>
  <si>
    <t>AC.FP</t>
  </si>
  <si>
    <t>REAL.US</t>
  </si>
  <si>
    <t>PEP.US</t>
  </si>
  <si>
    <t>GRMN.US</t>
  </si>
  <si>
    <t>ZO760437.Corp</t>
  </si>
  <si>
    <t>BH518546.Corp</t>
  </si>
  <si>
    <t>SPY.US</t>
  </si>
  <si>
    <t>ABNB.US</t>
  </si>
  <si>
    <t>SPOT.US</t>
  </si>
  <si>
    <t>PSA.CN</t>
  </si>
  <si>
    <t>CAD.Curncy</t>
  </si>
  <si>
    <t>USD.Curncy</t>
  </si>
  <si>
    <t>OPXBCI56.Curncy</t>
  </si>
  <si>
    <t>EUR/CAD.9/27/2021</t>
  </si>
  <si>
    <t>IRTC.US</t>
  </si>
  <si>
    <t>PLAY.US</t>
  </si>
  <si>
    <t>ATL.IM</t>
  </si>
  <si>
    <t>BEKE.US</t>
  </si>
  <si>
    <t>ATHM.US</t>
  </si>
  <si>
    <t>KC.US</t>
  </si>
  <si>
    <t>MEL.SM</t>
  </si>
  <si>
    <t>COTY.US</t>
  </si>
  <si>
    <t>MSGE.US</t>
  </si>
  <si>
    <t>JSG.LN</t>
  </si>
  <si>
    <t>SSPG.LN</t>
  </si>
  <si>
    <t>TKA.GR</t>
  </si>
  <si>
    <t>SABR.US</t>
  </si>
  <si>
    <t>CIEL3.BZ</t>
  </si>
  <si>
    <t>TCEHY.US</t>
  </si>
  <si>
    <t>YSG.US</t>
  </si>
  <si>
    <t>AGL.IM</t>
  </si>
  <si>
    <t>KRN.GR</t>
  </si>
  <si>
    <t>788.HK</t>
  </si>
  <si>
    <t>BIDU.US</t>
  </si>
  <si>
    <t>WYNN.US</t>
  </si>
  <si>
    <t>PDD.US</t>
  </si>
  <si>
    <t>700.HK</t>
  </si>
  <si>
    <t>MRNA.US</t>
  </si>
  <si>
    <t>CME.US</t>
  </si>
  <si>
    <t>RI.FP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</si>
</sst>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"/>
    <numFmt numFmtId="165" formatCode="0.0%"/>
    <numFmt numFmtId="166" formatCode="&quot;$&quot;#,##0.00"/>
    <numFmt numFmtId="167" formatCode="_(* #,##0_);_(* \(#,##0\);_(* &quot;-&quot;??_);_(@_)"/>
    <numFmt numFmtId="168" formatCode="\+#,##0.00;\-#,##0.00;#,##0.00"/>
    <numFmt numFmtId="169" formatCode="\+0.00%;\-0.00%;0.00%"/>
    <numFmt numFmtId="170" formatCode="_(* #,##0.0_);_(* \(#,##0.0\);_(* &quot;-&quot;??_);_(@_)"/>
  </numFmts>
  <fonts count="1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color rgb="FFFFC000"/>
      <name val="Calibri"/>
      <family val="2"/>
      <scheme val="minor"/>
    </font>
    <font>
      <sz val="10"/>
      <name val="Arial"/>
      <family val="2"/>
    </font>
    <font>
      <b/>
      <sz val="24"/>
      <name val="Calibri"/>
      <family val="2"/>
      <scheme val="minor"/>
    </font>
    <font>
      <sz val="11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Calibri"/>
      <family val="2"/>
      <scheme val="minor"/>
    </font>
    <font>
      <b/>
      <sz val="10"/>
      <name val="Arial"/>
      <family val="2"/>
    </font>
    <font>
      <b/>
      <sz val="33"/>
      <color theme="0"/>
      <name val="Arial"/>
      <family val="2"/>
    </font>
    <font>
      <b/>
      <sz val="12"/>
      <color theme="1" tint="0.249977111117893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2"/>
      <color rgb="FFFF4F4F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1" tint="0.14999847407452621"/>
      <name val="Arial"/>
      <family val="2"/>
    </font>
    <font>
      <b/>
      <sz val="10"/>
      <color theme="1"/>
      <name val="Arial"/>
      <family val="2"/>
    </font>
    <font>
      <sz val="12"/>
      <color rgb="FF4D4D4D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CC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0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1" fillId="0" borderId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43" fontId="5" fillId="0" borderId="0" applyFont="0" applyFill="0" applyBorder="0" applyAlignment="0" applyProtection="0"/>
  </cellStyleXfs>
  <cellXfs count="98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NumberFormat="1"/>
    <xf numFmtId="0" fontId="1" fillId="2" borderId="0" xfId="6" applyFill="1"/>
    <xf numFmtId="0" fontId="4" fillId="2" borderId="0" xfId="6" applyFont="1" applyFill="1" applyAlignment="1">
      <alignment horizontal="center"/>
    </xf>
    <xf numFmtId="0" fontId="4" fillId="2" borderId="0" xfId="6" applyFont="1" applyFill="1" applyAlignment="1">
      <alignment horizontal="left"/>
    </xf>
    <xf numFmtId="0" fontId="1" fillId="0" borderId="0" xfId="6"/>
    <xf numFmtId="0" fontId="1" fillId="3" borderId="0" xfId="6" applyFill="1" applyAlignment="1">
      <alignment horizontal="center"/>
    </xf>
    <xf numFmtId="0" fontId="1" fillId="3" borderId="0" xfId="6" applyFill="1" applyAlignment="1">
      <alignment horizontal="left"/>
    </xf>
    <xf numFmtId="0" fontId="1" fillId="3" borderId="0" xfId="6" applyFill="1"/>
    <xf numFmtId="2" fontId="1" fillId="0" borderId="0" xfId="6" applyNumberFormat="1" applyAlignment="1">
      <alignment horizontal="center"/>
    </xf>
    <xf numFmtId="0" fontId="1" fillId="0" borderId="0" xfId="6" applyAlignment="1">
      <alignment horizontal="center"/>
    </xf>
    <xf numFmtId="10" fontId="1" fillId="0" borderId="0" xfId="6" applyNumberFormat="1" applyAlignment="1">
      <alignment horizontal="center"/>
    </xf>
    <xf numFmtId="10" fontId="1" fillId="0" borderId="0" xfId="6" applyNumberFormat="1"/>
    <xf numFmtId="0" fontId="1" fillId="0" borderId="0" xfId="6" applyAlignment="1">
      <alignment horizontal="left"/>
    </xf>
    <xf numFmtId="2" fontId="1" fillId="0" borderId="0" xfId="6" applyNumberFormat="1"/>
    <xf numFmtId="164" fontId="1" fillId="0" borderId="0" xfId="6" applyNumberFormat="1"/>
    <xf numFmtId="1" fontId="1" fillId="0" borderId="0" xfId="6" applyNumberFormat="1"/>
    <xf numFmtId="0" fontId="1" fillId="2" borderId="0" xfId="6" applyFill="1" applyAlignment="1">
      <alignment horizontal="left"/>
    </xf>
    <xf numFmtId="0" fontId="4" fillId="0" borderId="0" xfId="6" applyFont="1" applyAlignment="1">
      <alignment horizontal="left"/>
    </xf>
    <xf numFmtId="0" fontId="1" fillId="2" borderId="0" xfId="6" applyFill="1" applyAlignment="1">
      <alignment horizontal="center"/>
    </xf>
    <xf numFmtId="16" fontId="1" fillId="0" borderId="0" xfId="6" applyNumberFormat="1"/>
    <xf numFmtId="0" fontId="4" fillId="2" borderId="0" xfId="6" applyFont="1" applyFill="1"/>
    <xf numFmtId="0" fontId="6" fillId="0" borderId="0" xfId="7" applyFont="1" applyProtection="1">
      <protection hidden="1"/>
    </xf>
    <xf numFmtId="0" fontId="7" fillId="0" borderId="0" xfId="7" applyFont="1" applyProtection="1">
      <protection hidden="1"/>
    </xf>
    <xf numFmtId="0" fontId="5" fillId="0" borderId="0" xfId="7"/>
    <xf numFmtId="0" fontId="8" fillId="0" borderId="0" xfId="8" applyFill="1" applyBorder="1" applyAlignment="1" applyProtection="1">
      <protection hidden="1"/>
    </xf>
    <xf numFmtId="0" fontId="7" fillId="0" borderId="0" xfId="7" applyFont="1" applyProtection="1">
      <protection locked="0"/>
    </xf>
    <xf numFmtId="9" fontId="7" fillId="0" borderId="0" xfId="7" applyNumberFormat="1" applyFont="1" applyProtection="1">
      <protection hidden="1"/>
    </xf>
    <xf numFmtId="0" fontId="9" fillId="4" borderId="1" xfId="7" applyFont="1" applyFill="1" applyBorder="1" applyProtection="1">
      <protection hidden="1"/>
    </xf>
    <xf numFmtId="0" fontId="7" fillId="4" borderId="2" xfId="7" applyFont="1" applyFill="1" applyBorder="1" applyProtection="1">
      <protection hidden="1"/>
    </xf>
    <xf numFmtId="0" fontId="7" fillId="4" borderId="3" xfId="7" applyFont="1" applyFill="1" applyBorder="1" applyProtection="1">
      <protection hidden="1"/>
    </xf>
    <xf numFmtId="0" fontId="7" fillId="4" borderId="4" xfId="7" applyFont="1" applyFill="1" applyBorder="1" applyProtection="1">
      <protection hidden="1"/>
    </xf>
    <xf numFmtId="0" fontId="7" fillId="4" borderId="0" xfId="7" applyFont="1" applyFill="1" applyProtection="1">
      <protection hidden="1"/>
    </xf>
    <xf numFmtId="0" fontId="7" fillId="4" borderId="5" xfId="7" applyFont="1" applyFill="1" applyBorder="1" applyProtection="1">
      <protection locked="0"/>
    </xf>
    <xf numFmtId="165" fontId="7" fillId="4" borderId="5" xfId="7" applyNumberFormat="1" applyFont="1" applyFill="1" applyBorder="1" applyProtection="1">
      <protection locked="0"/>
    </xf>
    <xf numFmtId="164" fontId="7" fillId="0" borderId="0" xfId="7" applyNumberFormat="1" applyFont="1" applyProtection="1">
      <protection hidden="1"/>
    </xf>
    <xf numFmtId="0" fontId="7" fillId="4" borderId="6" xfId="7" applyFont="1" applyFill="1" applyBorder="1" applyProtection="1">
      <protection hidden="1"/>
    </xf>
    <xf numFmtId="0" fontId="7" fillId="4" borderId="7" xfId="7" applyFont="1" applyFill="1" applyBorder="1" applyProtection="1">
      <protection hidden="1"/>
    </xf>
    <xf numFmtId="165" fontId="7" fillId="4" borderId="8" xfId="7" applyNumberFormat="1" applyFont="1" applyFill="1" applyBorder="1" applyProtection="1">
      <protection locked="0"/>
    </xf>
    <xf numFmtId="166" fontId="7" fillId="0" borderId="0" xfId="7" applyNumberFormat="1" applyFont="1" applyProtection="1">
      <protection hidden="1"/>
    </xf>
    <xf numFmtId="0" fontId="9" fillId="5" borderId="1" xfId="7" applyFont="1" applyFill="1" applyBorder="1" applyProtection="1">
      <protection hidden="1"/>
    </xf>
    <xf numFmtId="0" fontId="7" fillId="5" borderId="2" xfId="7" applyFont="1" applyFill="1" applyBorder="1" applyAlignment="1" applyProtection="1">
      <alignment horizontal="center"/>
      <protection hidden="1"/>
    </xf>
    <xf numFmtId="0" fontId="7" fillId="5" borderId="3" xfId="7" applyFont="1" applyFill="1" applyBorder="1" applyAlignment="1" applyProtection="1">
      <alignment horizontal="center"/>
      <protection hidden="1"/>
    </xf>
    <xf numFmtId="0" fontId="7" fillId="5" borderId="4" xfId="7" applyFont="1" applyFill="1" applyBorder="1" applyProtection="1">
      <protection hidden="1"/>
    </xf>
    <xf numFmtId="0" fontId="7" fillId="5" borderId="0" xfId="7" applyFont="1" applyFill="1" applyProtection="1">
      <protection hidden="1"/>
    </xf>
    <xf numFmtId="164" fontId="7" fillId="5" borderId="5" xfId="7" applyNumberFormat="1" applyFont="1" applyFill="1" applyBorder="1" applyProtection="1">
      <protection hidden="1"/>
    </xf>
    <xf numFmtId="0" fontId="7" fillId="5" borderId="6" xfId="7" applyFont="1" applyFill="1" applyBorder="1" applyProtection="1">
      <protection hidden="1"/>
    </xf>
    <xf numFmtId="0" fontId="7" fillId="5" borderId="7" xfId="7" applyFont="1" applyFill="1" applyBorder="1" applyProtection="1">
      <protection hidden="1"/>
    </xf>
    <xf numFmtId="164" fontId="7" fillId="5" borderId="8" xfId="7" applyNumberFormat="1" applyFont="1" applyFill="1" applyBorder="1" applyProtection="1">
      <protection hidden="1"/>
    </xf>
    <xf numFmtId="0" fontId="9" fillId="6" borderId="1" xfId="7" applyFont="1" applyFill="1" applyBorder="1" applyProtection="1">
      <protection hidden="1"/>
    </xf>
    <xf numFmtId="0" fontId="7" fillId="6" borderId="3" xfId="7" applyFont="1" applyFill="1" applyBorder="1" applyProtection="1">
      <protection hidden="1"/>
    </xf>
    <xf numFmtId="0" fontId="7" fillId="6" borderId="4" xfId="7" applyFont="1" applyFill="1" applyBorder="1" applyProtection="1">
      <protection hidden="1"/>
    </xf>
    <xf numFmtId="0" fontId="7" fillId="6" borderId="5" xfId="7" applyFont="1" applyFill="1" applyBorder="1" applyProtection="1">
      <protection hidden="1"/>
    </xf>
    <xf numFmtId="0" fontId="7" fillId="6" borderId="6" xfId="7" applyFont="1" applyFill="1" applyBorder="1" applyProtection="1">
      <protection hidden="1"/>
    </xf>
    <xf numFmtId="0" fontId="7" fillId="6" borderId="8" xfId="7" applyFont="1" applyFill="1" applyBorder="1" applyProtection="1">
      <protection hidden="1"/>
    </xf>
    <xf numFmtId="0" fontId="10" fillId="6" borderId="1" xfId="0" applyFont="1" applyFill="1" applyBorder="1"/>
    <xf numFmtId="0" fontId="0" fillId="6" borderId="3" xfId="0" applyFill="1" applyBorder="1"/>
    <xf numFmtId="0" fontId="9" fillId="5" borderId="1" xfId="8" applyFont="1" applyFill="1" applyBorder="1" applyAlignment="1" applyProtection="1"/>
    <xf numFmtId="0" fontId="8" fillId="5" borderId="3" xfId="8" applyFill="1" applyBorder="1" applyAlignment="1" applyProtection="1"/>
    <xf numFmtId="0" fontId="5" fillId="6" borderId="4" xfId="0" applyFont="1" applyFill="1" applyBorder="1"/>
    <xf numFmtId="0" fontId="0" fillId="6" borderId="5" xfId="0" applyFill="1" applyBorder="1"/>
    <xf numFmtId="0" fontId="5" fillId="6" borderId="5" xfId="0" applyFont="1" applyFill="1" applyBorder="1" applyAlignment="1">
      <alignment horizontal="right" vertical="top"/>
    </xf>
    <xf numFmtId="0" fontId="5" fillId="6" borderId="6" xfId="0" applyFont="1" applyFill="1" applyBorder="1"/>
    <xf numFmtId="0" fontId="5" fillId="6" borderId="8" xfId="0" applyFont="1" applyFill="1" applyBorder="1"/>
    <xf numFmtId="0" fontId="5" fillId="5" borderId="6" xfId="0" applyFont="1" applyFill="1" applyBorder="1" applyAlignment="1">
      <alignment horizontal="left" vertical="center"/>
    </xf>
    <xf numFmtId="0" fontId="5" fillId="5" borderId="8" xfId="0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right"/>
    </xf>
    <xf numFmtId="0" fontId="14" fillId="9" borderId="0" xfId="0" applyFont="1" applyFill="1" applyAlignment="1">
      <alignment horizontal="center"/>
    </xf>
    <xf numFmtId="0" fontId="15" fillId="10" borderId="9" xfId="0" applyFont="1" applyFill="1" applyBorder="1" applyAlignment="1">
      <alignment horizontal="right" vertical="center" wrapText="1"/>
    </xf>
    <xf numFmtId="0" fontId="16" fillId="9" borderId="10" xfId="0" applyFont="1" applyFill="1" applyBorder="1" applyAlignment="1">
      <alignment horizontal="center" vertical="center" wrapText="1"/>
    </xf>
    <xf numFmtId="167" fontId="17" fillId="11" borderId="11" xfId="4" applyNumberFormat="1" applyFont="1" applyFill="1" applyBorder="1" applyAlignment="1">
      <alignment horizontal="center" vertical="center"/>
    </xf>
    <xf numFmtId="43" fontId="17" fillId="11" borderId="11" xfId="4" applyFont="1" applyFill="1" applyBorder="1" applyAlignment="1">
      <alignment horizontal="center" vertical="center"/>
    </xf>
    <xf numFmtId="168" fontId="17" fillId="12" borderId="11" xfId="4" applyNumberFormat="1" applyFont="1" applyFill="1" applyBorder="1"/>
    <xf numFmtId="169" fontId="17" fillId="12" borderId="11" xfId="1" applyNumberFormat="1" applyFont="1" applyFill="1" applyBorder="1"/>
    <xf numFmtId="0" fontId="15" fillId="10" borderId="10" xfId="0" applyFont="1" applyFill="1" applyBorder="1" applyAlignment="1">
      <alignment horizontal="center" vertical="center" wrapText="1"/>
    </xf>
    <xf numFmtId="43" fontId="0" fillId="6" borderId="10" xfId="4" applyFont="1" applyFill="1" applyBorder="1" applyAlignment="1">
      <alignment horizontal="left"/>
    </xf>
    <xf numFmtId="0" fontId="0" fillId="9" borderId="10" xfId="0" applyFill="1" applyBorder="1"/>
    <xf numFmtId="43" fontId="0" fillId="6" borderId="10" xfId="4" applyFont="1" applyFill="1" applyBorder="1"/>
    <xf numFmtId="43" fontId="0" fillId="6" borderId="10" xfId="4" applyFont="1" applyFill="1" applyBorder="1" applyAlignment="1">
      <alignment horizontal="right"/>
    </xf>
    <xf numFmtId="167" fontId="0" fillId="12" borderId="10" xfId="4" applyNumberFormat="1" applyFont="1" applyFill="1" applyBorder="1"/>
    <xf numFmtId="43" fontId="0" fillId="12" borderId="10" xfId="4" applyFont="1" applyFill="1" applyBorder="1"/>
    <xf numFmtId="10" fontId="0" fillId="12" borderId="10" xfId="1" applyNumberFormat="1" applyFont="1" applyFill="1" applyBorder="1"/>
    <xf numFmtId="9" fontId="0" fillId="6" borderId="10" xfId="1" applyFont="1" applyFill="1" applyBorder="1"/>
    <xf numFmtId="14" fontId="0" fillId="6" borderId="10" xfId="4" applyNumberFormat="1" applyFont="1" applyFill="1" applyBorder="1"/>
    <xf numFmtId="165" fontId="0" fillId="12" borderId="10" xfId="1" applyNumberFormat="1" applyFont="1" applyFill="1" applyBorder="1"/>
    <xf numFmtId="170" fontId="0" fillId="12" borderId="10" xfId="4" applyNumberFormat="1" applyFont="1" applyFill="1" applyBorder="1" applyAlignment="1">
      <alignment horizontal="right"/>
    </xf>
    <xf numFmtId="9" fontId="0" fillId="12" borderId="10" xfId="1" applyFont="1" applyFill="1" applyBorder="1" applyAlignment="1">
      <alignment horizontal="right"/>
    </xf>
    <xf numFmtId="165" fontId="0" fillId="6" borderId="10" xfId="1" applyNumberFormat="1" applyFont="1" applyFill="1" applyBorder="1"/>
    <xf numFmtId="43" fontId="0" fillId="9" borderId="10" xfId="0" applyNumberFormat="1" applyFill="1" applyBorder="1"/>
    <xf numFmtId="43" fontId="0" fillId="0" borderId="0" xfId="0" applyNumberFormat="1"/>
    <xf numFmtId="0" fontId="11" fillId="7" borderId="0" xfId="0" applyFont="1" applyFill="1" applyAlignment="1">
      <alignment horizontal="left" vertical="center" indent="2"/>
    </xf>
    <xf numFmtId="0" fontId="13" fillId="8" borderId="0" xfId="0" applyFont="1" applyFill="1" applyAlignment="1">
      <alignment horizontal="left"/>
    </xf>
    <xf numFmtId="0" fontId="4" fillId="2" borderId="0" xfId="6" applyFont="1" applyFill="1" applyAlignment="1">
      <alignment horizontal="center"/>
    </xf>
    <xf numFmtId="0" fontId="18" fillId="14" borderId="11" xfId="0" applyFont="1" applyFill="1" applyBorder="1" applyAlignment="1">
      <alignment horizontal="center"/>
    </xf>
    <xf numFmtId="0" fontId="0" fillId="13" borderId="12" xfId="0" applyNumberFormat="1" applyFont="1" applyFill="1" applyBorder="1"/>
    <xf numFmtId="0" fontId="0" fillId="0" borderId="12" xfId="0" applyNumberFormat="1" applyFont="1" applyBorder="1"/>
  </cellXfs>
  <cellStyles count="10">
    <cellStyle name="Comma" xfId="4" xr:uid="{00000000-0005-0000-0000-000004000000}"/>
    <cellStyle name="Comma [0]" xfId="5" xr:uid="{00000000-0005-0000-0000-000005000000}"/>
    <cellStyle name="Comma 2" xfId="9" xr:uid="{33273F60-F295-4C34-86D1-72C53B79694B}"/>
    <cellStyle name="Currency" xfId="2" xr:uid="{00000000-0005-0000-0000-000002000000}"/>
    <cellStyle name="Currency [0]" xfId="3" xr:uid="{00000000-0005-0000-0000-000003000000}"/>
    <cellStyle name="Hyperlink 2" xfId="8" xr:uid="{16E9DC9D-945F-4BDC-92FE-1D11515C9697}"/>
    <cellStyle name="Normal" xfId="0" builtinId="0"/>
    <cellStyle name="Normal 2" xfId="6" xr:uid="{8A4383CD-EFED-4F09-B858-D40CA082F888}"/>
    <cellStyle name="Normal 3" xfId="7" xr:uid="{A98F5F8E-853B-4B62-A6CE-E090E892D693}"/>
    <cellStyle name="Percent" xfId="1" xr:uid="{00000000-0005-0000-0000-000001000000}"/>
  </cellStyles>
  <dxfs count="69"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gray0625"/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/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14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title>
    <cx:plotArea>
      <cx:plotAreaRegion>
        <cx:series layoutId="clusteredColumn" uniqueId="{D82D02F9-7EF6-4F5B-83CB-9259695AF140}">
          <cx:dataId val="0"/>
          <cx:layoutPr>
            <cx:binning intervalClosed="r" overflow="auto">
              <cx:binCount val="30"/>
            </cx:binning>
          </cx:layoutPr>
        </cx:series>
      </cx:plotAreaRegion>
      <cx:axis id="0" hidden="1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19050</xdr:colOff>
      <xdr:row>3</xdr:row>
      <xdr:rowOff>0</xdr:rowOff>
    </xdr:from>
    <xdr:to>
      <xdr:col>21</xdr:col>
      <xdr:colOff>76200</xdr:colOff>
      <xdr:row>17</xdr:row>
      <xdr:rowOff>76200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167C917C-0809-4E33-8FE9-62B333F6B4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77600" y="571500"/>
              <a:ext cx="48006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C0A2C72-8DCD-434A-84FC-1D7F2E3DF129}" autoFormatId="16" applyNumberFormats="0" applyBorderFormats="0" applyFontFormats="0" applyPatternFormats="0" applyAlignmentFormats="0" applyWidthHeightFormats="0">
  <queryTableRefresh nextId="17">
    <queryTableFields count="16">
      <queryTableField id="1" name="Portfolio" tableColumnId="1"/>
      <queryTableField id="2" name="AssetType" tableColumnId="2"/>
      <queryTableField id="3" name="AssetNumber" tableColumnId="3"/>
      <queryTableField id="4" name="Ticker" tableColumnId="4"/>
      <queryTableField id="5" name="Name" tableColumnId="5"/>
      <queryTableField id="6" name="Units" tableColumnId="6"/>
      <queryTableField id="7" name="CurrentMarketValue" tableColumnId="7"/>
      <queryTableField id="8" name="AverageCost" tableColumnId="8"/>
      <queryTableField id="9" name="LastPrice" tableColumnId="9"/>
      <queryTableField id="10" name="CurrentWeight" tableColumnId="10"/>
      <queryTableField id="11" name="PostTradeMarketValue" tableColumnId="11"/>
      <queryTableField id="12" name="PostTradeWeight" tableColumnId="12"/>
      <queryTableField id="13" name="IndicativeYield" tableColumnId="13"/>
      <queryTableField id="14" name="OptPC" tableColumnId="14"/>
      <queryTableField id="15" name="OptStrike" tableColumnId="15"/>
      <queryTableField id="16" name="OptExpiryYYYYMMDD" tableColumnId="1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2C689F82-3749-4DC6-B719-6A13CCD997EE}" autoFormatId="16" applyNumberFormats="0" applyBorderFormats="0" applyFontFormats="0" applyPatternFormats="0" applyAlignmentFormats="0" applyWidthHeightFormats="0">
  <queryTableRefresh nextId="37">
    <queryTableFields count="36">
      <queryTableField id="1" name="Symbol" tableColumnId="1"/>
      <queryTableField id="2" name="LastStockPrice" tableColumnId="2"/>
      <queryTableField id="3" name="LastStockPriceDate" tableColumnId="3"/>
      <queryTableField id="4" name="ZoneYYYYMMDD" tableColumnId="4"/>
      <queryTableField id="5" name="MMRatio" tableColumnId="5"/>
      <queryTableField id="6" name="StdevRatio" tableColumnId="6"/>
      <queryTableField id="7" name="ZoneNum" tableColumnId="7"/>
      <queryTableField id="8" name="ZoneLabel" tableColumnId="8"/>
      <queryTableField id="9" name="BDPos" tableColumnId="9"/>
      <queryTableField id="10" name="OptionTicker" tableColumnId="10"/>
      <queryTableField id="11" name="Strike" tableColumnId="11"/>
      <queryTableField id="12" name="OptionBid" tableColumnId="12"/>
      <queryTableField id="13" name="ImpliedYield" tableColumnId="13"/>
      <queryTableField id="14" name="StrikeRatio" tableColumnId="14"/>
      <queryTableField id="15" name="LongName" tableColumnId="15"/>
      <queryTableField id="16" name="Currency" tableColumnId="16"/>
      <queryTableField id="17" name="ShareOut" tableColumnId="17"/>
      <queryTableField id="18" name="MarketCap" tableColumnId="18"/>
      <queryTableField id="19" name="MarketCapUSD" tableColumnId="19"/>
      <queryTableField id="20" name="Exchange" tableColumnId="20"/>
      <queryTableField id="21" name="MarketCapComma" tableColumnId="21"/>
      <queryTableField id="22" name="MarketCapLabel" tableColumnId="22"/>
      <queryTableField id="23" name="BDPosDetails" tableColumnId="23"/>
      <queryTableField id="24" name="BDPosUSDValue" tableColumnId="24"/>
      <queryTableField id="25" name="ExchangeRate" tableColumnId="25"/>
      <queryTableField id="26" name="BDCallOptPos" tableColumnId="26"/>
      <queryTableField id="27" name="BDCallOptDets" tableColumnId="27"/>
      <queryTableField id="28" name="OptionExpiry" tableColumnId="28"/>
      <queryTableField id="29" name="BDEQPos" tableColumnId="29"/>
      <queryTableField id="30" name="BDEQPosUSDValue" tableColumnId="30"/>
      <queryTableField id="31" name="BDEQCallOptPos" tableColumnId="31"/>
      <queryTableField id="32" name="MaxBTStrikeRatio" tableColumnId="32"/>
      <queryTableField id="33" name="BTStrikeCount" tableColumnId="33"/>
      <queryTableField id="34" name="Column1" tableColumnId="34"/>
      <queryTableField id="35" name="_1" tableColumnId="35"/>
      <queryTableField id="36" name="_2" tableColumnId="3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9FDD6AA6-B1CE-4D25-9AEF-BD975665350B}" autoFormatId="16" applyNumberFormats="0" applyBorderFormats="0" applyFontFormats="0" applyPatternFormats="0" applyAlignmentFormats="0" applyWidthHeightFormats="0">
  <queryTableRefresh nextId="13">
    <queryTableFields count="12">
      <queryTableField id="1" name="Security" tableColumnId="1"/>
      <queryTableField id="2" name="Exchange" tableColumnId="2"/>
      <queryTableField id="3" name="Side" tableColumnId="3"/>
      <queryTableField id="4" name="Position" tableColumnId="4"/>
      <queryTableField id="5" name="Quantity" tableColumnId="5"/>
      <queryTableField id="6" name="Fund" tableColumnId="6"/>
      <queryTableField id="7" name="Calls/Puts" tableColumnId="7"/>
      <queryTableField id="8" name="Month" tableColumnId="8"/>
      <queryTableField id="9" name="Date" tableColumnId="9"/>
      <queryTableField id="10" name="Year" tableColumnId="10"/>
      <queryTableField id="11" name="Strike" tableColumnId="11"/>
      <queryTableField id="12" name="Ask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B31CA9-A149-48D8-9F69-5CDD76680745}" name="BDFundPortfolio__2" displayName="BDFundPortfolio__2" ref="A1:P201" tableType="queryTable" totalsRowShown="0">
  <autoFilter ref="A1:P201" xr:uid="{80B31CA9-A149-48D8-9F69-5CDD76680745}"/>
  <tableColumns count="16">
    <tableColumn id="1" xr3:uid="{6ECF0555-04E3-41EC-B83C-3A60EBD39B52}" uniqueName="1" name="Portfolio" queryTableFieldId="1" dataDxfId="27"/>
    <tableColumn id="2" xr3:uid="{C30E4514-2B1B-4C52-A233-6FBBC3D90339}" uniqueName="2" name="AssetType" queryTableFieldId="2" dataDxfId="26"/>
    <tableColumn id="3" xr3:uid="{7DEFB7BD-AACC-412F-93BD-A0463670A9BC}" uniqueName="3" name="AssetNumber" queryTableFieldId="3"/>
    <tableColumn id="4" xr3:uid="{74E51432-237B-458B-BDD6-7E2D37E726CF}" uniqueName="4" name="Ticker" queryTableFieldId="4" dataDxfId="25"/>
    <tableColumn id="5" xr3:uid="{82994D44-4BE6-4815-8407-74830316C776}" uniqueName="5" name="Name" queryTableFieldId="5" dataDxfId="24"/>
    <tableColumn id="6" xr3:uid="{4E34E6A6-751B-4970-BB74-7300DFE39F3E}" uniqueName="6" name="Units" queryTableFieldId="6"/>
    <tableColumn id="7" xr3:uid="{12754915-35EA-4E5A-99B2-20397069064E}" uniqueName="7" name="CurrentMarketValue" queryTableFieldId="7"/>
    <tableColumn id="8" xr3:uid="{3509463B-5D4A-4942-9BB1-320140A5D995}" uniqueName="8" name="AverageCost" queryTableFieldId="8"/>
    <tableColumn id="9" xr3:uid="{D24DCB4D-3B95-43F0-932C-ABA03F9CADA7}" uniqueName="9" name="LastPrice" queryTableFieldId="9"/>
    <tableColumn id="10" xr3:uid="{7BF6DD10-D945-4423-BCDB-F8F26C4A29F4}" uniqueName="10" name="CurrentWeight" queryTableFieldId="10"/>
    <tableColumn id="11" xr3:uid="{27532534-FA8B-42D4-9D45-45B2BCA4A5C5}" uniqueName="11" name="PostTradeMarketValue" queryTableFieldId="11"/>
    <tableColumn id="12" xr3:uid="{8DF356F9-4901-42BB-8D6D-206BA6C68923}" uniqueName="12" name="PostTradeWeight" queryTableFieldId="12"/>
    <tableColumn id="13" xr3:uid="{E34CBAE1-C492-4BAE-ABF0-6D879A7EBB22}" uniqueName="13" name="IndicativeYield" queryTableFieldId="13"/>
    <tableColumn id="14" xr3:uid="{4359414D-8595-4EC8-B0B1-19E56028F728}" uniqueName="14" name="OptPC" queryTableFieldId="14" dataDxfId="23"/>
    <tableColumn id="15" xr3:uid="{9C550E55-7E60-4207-8F71-5AE5CDD9FAA4}" uniqueName="15" name="OptStrike" queryTableFieldId="15"/>
    <tableColumn id="16" xr3:uid="{B382C971-48AC-485F-BECE-2B79684FC87C}" uniqueName="16" name="OptExpiryYYYYMMDD" queryTableFieldId="16" dataDxfId="2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8CE5A4C-F626-4BE0-921D-FE3438865BB8}" name="DashSummary" displayName="DashSummary" ref="A1:AJ181" tableType="queryTable" totalsRowShown="0">
  <autoFilter ref="A1:AJ181" xr:uid="{08CE5A4C-F626-4BE0-921D-FE3438865BB8}"/>
  <tableColumns count="36">
    <tableColumn id="1" xr3:uid="{7B34148E-40E3-432C-A6AC-B3965785C7F3}" uniqueName="1" name="Symbol" queryTableFieldId="1" dataDxfId="21"/>
    <tableColumn id="2" xr3:uid="{846ABB90-43F8-45C9-9E70-37F8B0D69012}" uniqueName="2" name="LastStockPrice" queryTableFieldId="2"/>
    <tableColumn id="3" xr3:uid="{28DF5058-3D03-457D-B777-C8F72106365E}" uniqueName="3" name="LastStockPriceDate" queryTableFieldId="3" dataDxfId="20"/>
    <tableColumn id="4" xr3:uid="{2B99919F-8E69-48BD-AD8B-AC2C58EBF337}" uniqueName="4" name="ZoneYYYYMMDD" queryTableFieldId="4" dataDxfId="19"/>
    <tableColumn id="5" xr3:uid="{2E1C9C22-8311-4305-9EE1-7B6DB8B1BB62}" uniqueName="5" name="MMRatio" queryTableFieldId="5"/>
    <tableColumn id="6" xr3:uid="{76389CE9-3DE5-4FE3-904D-F369FFB8EDEF}" uniqueName="6" name="StdevRatio" queryTableFieldId="6"/>
    <tableColumn id="7" xr3:uid="{CF51074D-988E-4182-97D2-3F85BB2B5DF4}" uniqueName="7" name="ZoneNum" queryTableFieldId="7"/>
    <tableColumn id="8" xr3:uid="{8381ACE3-472F-4FC0-9095-1585D4CBC8DE}" uniqueName="8" name="ZoneLabel" queryTableFieldId="8" dataDxfId="18"/>
    <tableColumn id="9" xr3:uid="{34CE92EE-5816-4AAE-AFDB-3CFE070225DE}" uniqueName="9" name="BDPos" queryTableFieldId="9"/>
    <tableColumn id="10" xr3:uid="{E5E70512-AB2D-45F3-A6B6-DFAD68502AFB}" uniqueName="10" name="OptionTicker" queryTableFieldId="10" dataDxfId="17"/>
    <tableColumn id="11" xr3:uid="{09E63748-ACE1-4D33-889D-4696CA927D28}" uniqueName="11" name="Strike" queryTableFieldId="11"/>
    <tableColumn id="12" xr3:uid="{9A90FB6E-36DA-416D-B780-60B9EF089FE2}" uniqueName="12" name="OptionBid" queryTableFieldId="12"/>
    <tableColumn id="13" xr3:uid="{B6EFF567-2638-4468-BCA8-068D1199F1A7}" uniqueName="13" name="ImpliedYield" queryTableFieldId="13"/>
    <tableColumn id="14" xr3:uid="{D2D16582-0EDF-4FA5-94FB-BB1BE5A0A502}" uniqueName="14" name="StrikeRatio" queryTableFieldId="14"/>
    <tableColumn id="15" xr3:uid="{FF35F51A-8206-497A-8943-9F1DB5D42DCE}" uniqueName="15" name="LongName" queryTableFieldId="15" dataDxfId="16"/>
    <tableColumn id="16" xr3:uid="{F79499F4-0942-463E-A7D5-EF43254C0E18}" uniqueName="16" name="Currency" queryTableFieldId="16" dataDxfId="15"/>
    <tableColumn id="17" xr3:uid="{DA2032A1-CE78-4E33-A809-A54E3506A09C}" uniqueName="17" name="ShareOut" queryTableFieldId="17"/>
    <tableColumn id="18" xr3:uid="{98310F1A-C26F-44CB-9C57-D2C124D7A875}" uniqueName="18" name="MarketCap" queryTableFieldId="18"/>
    <tableColumn id="19" xr3:uid="{585D3449-7AFF-43BB-9B56-EFA9213E9392}" uniqueName="19" name="MarketCapUSD" queryTableFieldId="19"/>
    <tableColumn id="20" xr3:uid="{72D6A836-8097-4C30-8077-A7A0CE2B802B}" uniqueName="20" name="Exchange" queryTableFieldId="20" dataDxfId="14"/>
    <tableColumn id="21" xr3:uid="{95B40829-F04A-486B-BDC9-E6AD43B91975}" uniqueName="21" name="MarketCapComma" queryTableFieldId="21" dataDxfId="13"/>
    <tableColumn id="22" xr3:uid="{7632F14C-F447-4A78-9B5C-9E64C4A07777}" uniqueName="22" name="MarketCapLabel" queryTableFieldId="22" dataDxfId="12"/>
    <tableColumn id="23" xr3:uid="{D4D34D30-143C-4732-BB33-F2902DF547DF}" uniqueName="23" name="BDPosDetails" queryTableFieldId="23" dataDxfId="11"/>
    <tableColumn id="24" xr3:uid="{6A4B5155-6C93-49DA-AB46-65998973687E}" uniqueName="24" name="BDPosUSDValue" queryTableFieldId="24"/>
    <tableColumn id="25" xr3:uid="{6D6A8185-8780-4312-B884-D5D944F14D28}" uniqueName="25" name="ExchangeRate" queryTableFieldId="25"/>
    <tableColumn id="26" xr3:uid="{8D0D27E6-313F-41DB-AA21-959E25650AE4}" uniqueName="26" name="BDCallOptPos" queryTableFieldId="26"/>
    <tableColumn id="27" xr3:uid="{A079660B-FB71-4647-BDF1-308FEDBDEC2F}" uniqueName="27" name="BDCallOptDets" queryTableFieldId="27" dataDxfId="10"/>
    <tableColumn id="28" xr3:uid="{2EE94AF5-AC20-4400-AB2E-A5C71CDA3860}" uniqueName="28" name="OptionExpiry" queryTableFieldId="28" dataDxfId="9"/>
    <tableColumn id="29" xr3:uid="{294B3BAB-BC0A-4FF3-9762-03B788350D75}" uniqueName="29" name="BDEQPos" queryTableFieldId="29" dataDxfId="8"/>
    <tableColumn id="30" xr3:uid="{BBB45CAE-5ABB-4FB7-A519-994E90B8FF50}" uniqueName="30" name="BDEQPosUSDValue" queryTableFieldId="30" dataDxfId="7"/>
    <tableColumn id="31" xr3:uid="{4EC4EFC9-904A-482E-9056-00995A4CCFFC}" uniqueName="31" name="BDEQCallOptPos" queryTableFieldId="31"/>
    <tableColumn id="32" xr3:uid="{D12CC4E8-8A1C-4B06-8EA3-CB28083EA317}" uniqueName="32" name="MaxBTStrikeRatio" queryTableFieldId="32"/>
    <tableColumn id="33" xr3:uid="{41070AFC-A9BD-43E7-AC20-F7A98299994A}" uniqueName="33" name="BTStrikeCount" queryTableFieldId="33"/>
    <tableColumn id="34" xr3:uid="{89D3AB5A-B23F-4D51-9BC6-FFB200115929}" uniqueName="34" name="Column1" queryTableFieldId="34"/>
    <tableColumn id="35" xr3:uid="{7DEAFEF3-0135-43F3-A2A1-1486ACE6FAC9}" uniqueName="35" name="_1" queryTableFieldId="35"/>
    <tableColumn id="36" xr3:uid="{E1C00637-002C-44B0-9EE0-ACD6CB027796}" uniqueName="36" name="_2" queryTableFieldId="3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34806F-63D9-435C-BCEF-CC672BFE0577}" name="SampleTradeList" displayName="SampleTradeList" ref="A1:L35" tableType="queryTable" totalsRowShown="0">
  <autoFilter ref="A1:L35" xr:uid="{8D34806F-63D9-435C-BCEF-CC672BFE0577}"/>
  <tableColumns count="12">
    <tableColumn id="1" xr3:uid="{2A93257E-F18A-4E78-81EF-1522765C378A}" uniqueName="1" name="Security" queryTableFieldId="1" dataDxfId="6"/>
    <tableColumn id="2" xr3:uid="{11045526-A32F-4DDB-B70C-C29ADCD98369}" uniqueName="2" name="Exchange" queryTableFieldId="2" dataDxfId="5"/>
    <tableColumn id="3" xr3:uid="{5FC021B6-B6DC-4008-9E38-5C0294AEEC61}" uniqueName="3" name="Side" queryTableFieldId="3" dataDxfId="4"/>
    <tableColumn id="4" xr3:uid="{781FFB5C-6071-42BC-98C1-AF6CBBFAFBE9}" uniqueName="4" name="Position" queryTableFieldId="4" dataDxfId="3"/>
    <tableColumn id="5" xr3:uid="{EFF1E823-1EB1-4E4A-AB85-F29FC3CA2808}" uniqueName="5" name="Quantity" queryTableFieldId="5"/>
    <tableColumn id="6" xr3:uid="{C8B71C82-18C8-4F64-94FA-E742D2E2E220}" uniqueName="6" name="Fund" queryTableFieldId="6" dataDxfId="2"/>
    <tableColumn id="7" xr3:uid="{1ACA7882-C628-4A88-82D4-401421EFA717}" uniqueName="7" name="Calls/Puts" queryTableFieldId="7" dataDxfId="1"/>
    <tableColumn id="8" xr3:uid="{C70304BA-E594-4F36-B1B2-5BB54253F81B}" uniqueName="8" name="Month" queryTableFieldId="8"/>
    <tableColumn id="9" xr3:uid="{AB3E39BF-D73C-405F-8323-4EDE24C3BB1C}" uniqueName="9" name="Date" queryTableFieldId="9"/>
    <tableColumn id="10" xr3:uid="{C9522B34-5EE1-40E8-A4F8-4C9542C840D7}" uniqueName="10" name="Year" queryTableFieldId="10"/>
    <tableColumn id="11" xr3:uid="{4415715B-431C-4051-8379-AC383E10A538}" uniqueName="11" name="Strike" queryTableFieldId="11"/>
    <tableColumn id="12" xr3:uid="{361D9FF9-D810-4F9C-84D1-74F8E2663905}" uniqueName="12" name="Ask" queryTableFieldId="1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Z209"/>
  <sheetViews>
    <sheetView topLeftCell="A177" workbookViewId="0">
      <selection activeCell="C10" sqref="C10:C209"/>
    </sheetView>
  </sheetViews>
  <sheetFormatPr defaultColWidth="11" defaultRowHeight="15.75" x14ac:dyDescent="0.25"/>
  <sheetData>
    <row r="2" spans="1:26" ht="42" x14ac:dyDescent="0.25">
      <c r="A2" s="92" t="s">
        <v>15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</row>
    <row r="4" spans="1:26" x14ac:dyDescent="0.25">
      <c r="A4" s="68" t="s">
        <v>1267</v>
      </c>
      <c r="B4" s="93"/>
      <c r="C4" s="93"/>
    </row>
    <row r="6" spans="1:26" x14ac:dyDescent="0.25">
      <c r="A6" s="69"/>
    </row>
    <row r="7" spans="1:26" x14ac:dyDescent="0.25">
      <c r="A7" s="70"/>
      <c r="B7" s="71"/>
    </row>
    <row r="8" spans="1:26" x14ac:dyDescent="0.25">
      <c r="A8" s="72"/>
      <c r="O8" s="73"/>
      <c r="P8" s="73"/>
      <c r="Q8" s="74"/>
      <c r="R8" s="75"/>
      <c r="Z8" s="73"/>
    </row>
    <row r="9" spans="1:26" x14ac:dyDescent="0.25">
      <c r="A9" s="76"/>
      <c r="B9" s="76"/>
      <c r="C9" s="76" t="s">
        <v>135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</row>
    <row r="10" spans="1:26" x14ac:dyDescent="0.25">
      <c r="A10" s="77"/>
      <c r="B10" s="78"/>
      <c r="C10" s="90" t="s">
        <v>1268</v>
      </c>
      <c r="E10" s="79"/>
      <c r="F10" s="80"/>
      <c r="G10" s="79"/>
      <c r="H10" s="79"/>
      <c r="I10" s="79"/>
      <c r="J10" s="79"/>
      <c r="K10" s="79"/>
      <c r="L10" s="79"/>
      <c r="M10" s="79"/>
      <c r="N10" s="79"/>
      <c r="O10" s="81"/>
      <c r="P10" s="81"/>
      <c r="Q10" s="82"/>
      <c r="R10" s="83"/>
      <c r="S10" s="84"/>
      <c r="T10" s="85"/>
      <c r="U10" s="84"/>
      <c r="V10" s="79"/>
      <c r="W10" s="86"/>
      <c r="X10" s="86"/>
      <c r="Y10" s="87"/>
      <c r="Z10" s="88"/>
    </row>
    <row r="11" spans="1:26" x14ac:dyDescent="0.25">
      <c r="A11" s="77"/>
      <c r="B11" s="78"/>
      <c r="C11" s="90" t="s">
        <v>1269</v>
      </c>
      <c r="E11" s="79"/>
      <c r="F11" s="80"/>
      <c r="G11" s="79"/>
      <c r="H11" s="79"/>
      <c r="I11" s="79"/>
      <c r="J11" s="79"/>
      <c r="K11" s="79"/>
      <c r="L11" s="79"/>
      <c r="M11" s="79"/>
      <c r="N11" s="79"/>
      <c r="O11" s="81"/>
      <c r="P11" s="81"/>
      <c r="Q11" s="82"/>
      <c r="R11" s="83"/>
      <c r="S11" s="84"/>
      <c r="T11" s="85"/>
      <c r="U11" s="84"/>
      <c r="V11" s="79"/>
      <c r="W11" s="86"/>
      <c r="X11" s="86"/>
      <c r="Y11" s="87"/>
      <c r="Z11" s="88"/>
    </row>
    <row r="12" spans="1:26" x14ac:dyDescent="0.25">
      <c r="A12" s="77"/>
      <c r="B12" s="78"/>
      <c r="C12" s="90" t="s">
        <v>1270</v>
      </c>
      <c r="E12" s="79"/>
      <c r="F12" s="80"/>
      <c r="G12" s="79"/>
      <c r="H12" s="79"/>
      <c r="I12" s="79"/>
      <c r="J12" s="79"/>
      <c r="K12" s="79"/>
      <c r="L12" s="79"/>
      <c r="M12" s="79"/>
      <c r="N12" s="79"/>
      <c r="O12" s="81"/>
      <c r="P12" s="81"/>
      <c r="Q12" s="82"/>
      <c r="R12" s="83"/>
      <c r="S12" s="84"/>
      <c r="T12" s="85"/>
      <c r="U12" s="89"/>
      <c r="V12" s="79"/>
      <c r="W12" s="86"/>
      <c r="X12" s="86"/>
      <c r="Y12" s="87"/>
      <c r="Z12" s="88"/>
    </row>
    <row r="13" spans="1:26" x14ac:dyDescent="0.25">
      <c r="A13" s="77"/>
      <c r="B13" s="78"/>
      <c r="C13" s="90" t="s">
        <v>1271</v>
      </c>
      <c r="E13" s="79"/>
      <c r="F13" s="80"/>
      <c r="G13" s="79"/>
      <c r="H13" s="79"/>
      <c r="I13" s="79"/>
      <c r="J13" s="79"/>
      <c r="K13" s="79"/>
      <c r="L13" s="79"/>
      <c r="M13" s="79"/>
      <c r="N13" s="79"/>
      <c r="O13" s="81"/>
      <c r="P13" s="81"/>
      <c r="Q13" s="82"/>
      <c r="R13" s="83"/>
      <c r="S13" s="84"/>
      <c r="T13" s="85"/>
      <c r="U13" s="89"/>
      <c r="V13" s="79"/>
      <c r="W13" s="86"/>
      <c r="X13" s="86"/>
      <c r="Y13" s="87"/>
      <c r="Z13" s="88"/>
    </row>
    <row r="14" spans="1:26" x14ac:dyDescent="0.25">
      <c r="A14" s="77"/>
      <c r="B14" s="78"/>
      <c r="C14" s="90" t="s">
        <v>1272</v>
      </c>
      <c r="E14" s="79"/>
      <c r="F14" s="80"/>
      <c r="G14" s="79"/>
      <c r="H14" s="79"/>
      <c r="I14" s="79"/>
      <c r="J14" s="79"/>
      <c r="K14" s="79"/>
      <c r="L14" s="79"/>
      <c r="M14" s="79"/>
      <c r="N14" s="79"/>
      <c r="O14" s="81"/>
      <c r="P14" s="81"/>
      <c r="Q14" s="82"/>
      <c r="R14" s="83"/>
      <c r="S14" s="84"/>
      <c r="T14" s="85"/>
      <c r="U14" s="89"/>
      <c r="V14" s="79"/>
      <c r="W14" s="86"/>
      <c r="X14" s="86"/>
      <c r="Y14" s="87"/>
      <c r="Z14" s="88"/>
    </row>
    <row r="15" spans="1:26" x14ac:dyDescent="0.25">
      <c r="A15" s="77"/>
      <c r="B15" s="78"/>
      <c r="C15" s="90" t="s">
        <v>1273</v>
      </c>
      <c r="E15" s="79"/>
      <c r="F15" s="80"/>
      <c r="G15" s="79"/>
      <c r="H15" s="79"/>
      <c r="I15" s="79"/>
      <c r="J15" s="79"/>
      <c r="K15" s="79"/>
      <c r="L15" s="79"/>
      <c r="M15" s="79"/>
      <c r="N15" s="79"/>
      <c r="O15" s="81"/>
      <c r="P15" s="81"/>
      <c r="Q15" s="82"/>
      <c r="R15" s="83"/>
      <c r="S15" s="84"/>
      <c r="T15" s="85"/>
      <c r="U15" s="89"/>
      <c r="V15" s="79"/>
      <c r="W15" s="86"/>
      <c r="X15" s="86"/>
      <c r="Y15" s="87"/>
      <c r="Z15" s="88"/>
    </row>
    <row r="16" spans="1:26" x14ac:dyDescent="0.25">
      <c r="A16" s="77"/>
      <c r="B16" s="78"/>
      <c r="C16" s="90" t="s">
        <v>1274</v>
      </c>
      <c r="E16" s="79"/>
      <c r="F16" s="80"/>
      <c r="G16" s="79"/>
      <c r="H16" s="79"/>
      <c r="I16" s="79"/>
      <c r="J16" s="79"/>
      <c r="K16" s="79"/>
      <c r="L16" s="79"/>
      <c r="M16" s="79"/>
      <c r="N16" s="79"/>
      <c r="O16" s="81"/>
      <c r="P16" s="81"/>
      <c r="Q16" s="82"/>
      <c r="R16" s="83"/>
      <c r="S16" s="84"/>
      <c r="T16" s="85"/>
      <c r="U16" s="89"/>
      <c r="V16" s="79"/>
      <c r="W16" s="86"/>
      <c r="X16" s="86"/>
      <c r="Y16" s="87"/>
      <c r="Z16" s="88"/>
    </row>
    <row r="17" spans="1:26" x14ac:dyDescent="0.25">
      <c r="A17" s="77"/>
      <c r="B17" s="78"/>
      <c r="C17" s="90" t="s">
        <v>1275</v>
      </c>
      <c r="E17" s="79"/>
      <c r="F17" s="80"/>
      <c r="G17" s="79"/>
      <c r="H17" s="79"/>
      <c r="I17" s="79"/>
      <c r="J17" s="79"/>
      <c r="K17" s="79"/>
      <c r="L17" s="79"/>
      <c r="M17" s="79"/>
      <c r="N17" s="79"/>
      <c r="O17" s="81"/>
      <c r="P17" s="81"/>
      <c r="Q17" s="82"/>
      <c r="R17" s="83"/>
      <c r="S17" s="84"/>
      <c r="T17" s="85"/>
      <c r="U17" s="89"/>
      <c r="V17" s="79"/>
      <c r="W17" s="86"/>
      <c r="X17" s="86"/>
      <c r="Y17" s="87"/>
      <c r="Z17" s="88"/>
    </row>
    <row r="18" spans="1:26" x14ac:dyDescent="0.25">
      <c r="A18" s="77"/>
      <c r="B18" s="78"/>
      <c r="C18" s="90" t="s">
        <v>1276</v>
      </c>
      <c r="E18" s="79"/>
      <c r="F18" s="80"/>
      <c r="G18" s="79"/>
      <c r="H18" s="79"/>
      <c r="I18" s="79"/>
      <c r="J18" s="79"/>
      <c r="K18" s="79"/>
      <c r="L18" s="79"/>
      <c r="M18" s="79"/>
      <c r="N18" s="79"/>
      <c r="O18" s="81"/>
      <c r="P18" s="81"/>
      <c r="Q18" s="82"/>
      <c r="R18" s="83"/>
      <c r="S18" s="84"/>
      <c r="T18" s="85"/>
      <c r="U18" s="89"/>
      <c r="V18" s="79"/>
      <c r="W18" s="86"/>
      <c r="X18" s="86"/>
      <c r="Y18" s="87"/>
      <c r="Z18" s="88"/>
    </row>
    <row r="19" spans="1:26" x14ac:dyDescent="0.25">
      <c r="A19" s="77"/>
      <c r="B19" s="78"/>
      <c r="C19" s="90" t="s">
        <v>1277</v>
      </c>
      <c r="E19" s="79"/>
      <c r="F19" s="80"/>
      <c r="G19" s="79"/>
      <c r="H19" s="79"/>
      <c r="I19" s="79"/>
      <c r="J19" s="79"/>
      <c r="K19" s="79"/>
      <c r="L19" s="79"/>
      <c r="M19" s="79"/>
      <c r="N19" s="79"/>
      <c r="O19" s="81"/>
      <c r="P19" s="81"/>
      <c r="Q19" s="82"/>
      <c r="R19" s="83"/>
      <c r="S19" s="84"/>
      <c r="T19" s="85"/>
      <c r="U19" s="89"/>
      <c r="V19" s="79"/>
      <c r="W19" s="86"/>
      <c r="X19" s="86"/>
      <c r="Y19" s="87"/>
      <c r="Z19" s="88"/>
    </row>
    <row r="20" spans="1:26" x14ac:dyDescent="0.25">
      <c r="A20" s="77"/>
      <c r="B20" s="78"/>
      <c r="C20" s="90" t="s">
        <v>1278</v>
      </c>
      <c r="E20" s="79"/>
      <c r="F20" s="80"/>
      <c r="G20" s="79"/>
      <c r="H20" s="79"/>
      <c r="I20" s="79"/>
      <c r="J20" s="79"/>
      <c r="K20" s="79"/>
      <c r="L20" s="79"/>
      <c r="M20" s="79"/>
      <c r="N20" s="79"/>
      <c r="O20" s="81"/>
      <c r="P20" s="81"/>
      <c r="Q20" s="82"/>
      <c r="R20" s="83"/>
      <c r="S20" s="84"/>
      <c r="T20" s="85"/>
      <c r="U20" s="89"/>
      <c r="V20" s="79"/>
      <c r="W20" s="86"/>
      <c r="X20" s="86"/>
      <c r="Y20" s="87"/>
      <c r="Z20" s="88"/>
    </row>
    <row r="21" spans="1:26" x14ac:dyDescent="0.25">
      <c r="A21" s="77"/>
      <c r="B21" s="78"/>
      <c r="C21" s="90" t="s">
        <v>1279</v>
      </c>
      <c r="E21" s="79"/>
      <c r="F21" s="80"/>
      <c r="G21" s="79"/>
      <c r="H21" s="79"/>
      <c r="I21" s="79"/>
      <c r="J21" s="79"/>
      <c r="K21" s="79"/>
      <c r="L21" s="79"/>
      <c r="M21" s="79"/>
      <c r="N21" s="79"/>
      <c r="O21" s="81"/>
      <c r="P21" s="81"/>
      <c r="Q21" s="82"/>
      <c r="R21" s="83"/>
      <c r="S21" s="84"/>
      <c r="T21" s="85"/>
      <c r="U21" s="89"/>
      <c r="V21" s="79"/>
      <c r="W21" s="86"/>
      <c r="X21" s="86"/>
      <c r="Y21" s="87"/>
      <c r="Z21" s="88"/>
    </row>
    <row r="22" spans="1:26" x14ac:dyDescent="0.25">
      <c r="A22" s="77"/>
      <c r="B22" s="78"/>
      <c r="C22" s="90" t="s">
        <v>1280</v>
      </c>
      <c r="E22" s="79"/>
      <c r="F22" s="80"/>
      <c r="G22" s="79"/>
      <c r="H22" s="79"/>
      <c r="I22" s="79"/>
      <c r="J22" s="79"/>
      <c r="K22" s="79"/>
      <c r="L22" s="79"/>
      <c r="M22" s="79"/>
      <c r="N22" s="79"/>
      <c r="O22" s="81"/>
      <c r="P22" s="81"/>
      <c r="Q22" s="82"/>
      <c r="R22" s="83"/>
      <c r="S22" s="84"/>
      <c r="T22" s="85"/>
      <c r="U22" s="89"/>
      <c r="V22" s="79"/>
      <c r="W22" s="86"/>
      <c r="X22" s="86"/>
      <c r="Y22" s="87"/>
      <c r="Z22" s="88"/>
    </row>
    <row r="23" spans="1:26" x14ac:dyDescent="0.25">
      <c r="A23" s="77"/>
      <c r="B23" s="78"/>
      <c r="C23" s="90" t="s">
        <v>1281</v>
      </c>
      <c r="E23" s="79"/>
      <c r="F23" s="80"/>
      <c r="G23" s="79"/>
      <c r="H23" s="79"/>
      <c r="I23" s="79"/>
      <c r="J23" s="79"/>
      <c r="K23" s="79"/>
      <c r="L23" s="79"/>
      <c r="M23" s="79"/>
      <c r="N23" s="79"/>
      <c r="O23" s="81"/>
      <c r="P23" s="81"/>
      <c r="Q23" s="82"/>
      <c r="R23" s="83"/>
      <c r="S23" s="84"/>
      <c r="T23" s="85"/>
      <c r="U23" s="89"/>
      <c r="V23" s="79"/>
      <c r="W23" s="86"/>
      <c r="X23" s="86"/>
      <c r="Y23" s="87"/>
      <c r="Z23" s="88"/>
    </row>
    <row r="24" spans="1:26" x14ac:dyDescent="0.25">
      <c r="A24" s="77"/>
      <c r="B24" s="78"/>
      <c r="C24" s="90" t="s">
        <v>1282</v>
      </c>
      <c r="E24" s="79"/>
      <c r="F24" s="80"/>
      <c r="G24" s="79"/>
      <c r="H24" s="79"/>
      <c r="I24" s="79"/>
      <c r="J24" s="79"/>
      <c r="K24" s="79"/>
      <c r="L24" s="79"/>
      <c r="M24" s="79"/>
      <c r="N24" s="79"/>
      <c r="O24" s="81"/>
      <c r="P24" s="81"/>
      <c r="Q24" s="82"/>
      <c r="R24" s="83"/>
      <c r="S24" s="84"/>
      <c r="T24" s="85"/>
      <c r="U24" s="89"/>
      <c r="V24" s="79"/>
      <c r="W24" s="86"/>
      <c r="X24" s="86"/>
      <c r="Y24" s="87"/>
      <c r="Z24" s="88"/>
    </row>
    <row r="25" spans="1:26" x14ac:dyDescent="0.25">
      <c r="A25" s="77"/>
      <c r="B25" s="78"/>
      <c r="C25" s="90" t="s">
        <v>1283</v>
      </c>
      <c r="E25" s="79"/>
      <c r="F25" s="80"/>
      <c r="G25" s="79"/>
      <c r="H25" s="79"/>
      <c r="I25" s="79"/>
      <c r="J25" s="79"/>
      <c r="K25" s="79"/>
      <c r="L25" s="79"/>
      <c r="M25" s="79"/>
      <c r="N25" s="79"/>
      <c r="O25" s="81"/>
      <c r="P25" s="81"/>
      <c r="Q25" s="82"/>
      <c r="R25" s="83"/>
      <c r="S25" s="84"/>
      <c r="T25" s="85"/>
      <c r="U25" s="89"/>
      <c r="V25" s="79"/>
      <c r="W25" s="86"/>
      <c r="X25" s="86"/>
      <c r="Y25" s="87"/>
      <c r="Z25" s="88"/>
    </row>
    <row r="26" spans="1:26" x14ac:dyDescent="0.25">
      <c r="A26" s="77"/>
      <c r="B26" s="78"/>
      <c r="C26" s="90" t="s">
        <v>1284</v>
      </c>
      <c r="E26" s="79"/>
      <c r="F26" s="80"/>
      <c r="G26" s="79"/>
      <c r="H26" s="79"/>
      <c r="I26" s="79"/>
      <c r="J26" s="79"/>
      <c r="K26" s="79"/>
      <c r="L26" s="79"/>
      <c r="M26" s="79"/>
      <c r="N26" s="79"/>
      <c r="O26" s="81"/>
      <c r="P26" s="81"/>
      <c r="Q26" s="82"/>
      <c r="R26" s="83"/>
      <c r="S26" s="84"/>
      <c r="T26" s="85"/>
      <c r="U26" s="89"/>
      <c r="V26" s="79"/>
      <c r="W26" s="86"/>
      <c r="X26" s="86"/>
      <c r="Y26" s="87"/>
      <c r="Z26" s="88"/>
    </row>
    <row r="27" spans="1:26" x14ac:dyDescent="0.25">
      <c r="A27" s="77"/>
      <c r="B27" s="78"/>
      <c r="C27" s="90" t="s">
        <v>1285</v>
      </c>
      <c r="E27" s="79"/>
      <c r="F27" s="80"/>
      <c r="G27" s="79"/>
      <c r="H27" s="79"/>
      <c r="I27" s="79"/>
      <c r="J27" s="79"/>
      <c r="K27" s="79"/>
      <c r="L27" s="79"/>
      <c r="M27" s="79"/>
      <c r="N27" s="79"/>
      <c r="O27" s="81"/>
      <c r="P27" s="81"/>
      <c r="Q27" s="82"/>
      <c r="R27" s="83"/>
      <c r="S27" s="84"/>
      <c r="T27" s="85"/>
      <c r="U27" s="89"/>
      <c r="V27" s="79"/>
      <c r="W27" s="86"/>
      <c r="X27" s="86"/>
      <c r="Y27" s="87"/>
      <c r="Z27" s="88"/>
    </row>
    <row r="28" spans="1:26" x14ac:dyDescent="0.25">
      <c r="A28" s="77"/>
      <c r="B28" s="78"/>
      <c r="C28" s="90" t="s">
        <v>1286</v>
      </c>
      <c r="E28" s="79"/>
      <c r="F28" s="80"/>
      <c r="G28" s="79"/>
      <c r="H28" s="79"/>
      <c r="I28" s="79"/>
      <c r="J28" s="79"/>
      <c r="K28" s="79"/>
      <c r="L28" s="79"/>
      <c r="M28" s="79"/>
      <c r="N28" s="79"/>
      <c r="O28" s="81"/>
      <c r="P28" s="81"/>
      <c r="Q28" s="82"/>
      <c r="R28" s="83"/>
      <c r="S28" s="84"/>
      <c r="T28" s="85"/>
      <c r="U28" s="89"/>
      <c r="V28" s="79"/>
      <c r="W28" s="86"/>
      <c r="X28" s="86"/>
      <c r="Y28" s="87"/>
      <c r="Z28" s="88"/>
    </row>
    <row r="29" spans="1:26" x14ac:dyDescent="0.25">
      <c r="A29" s="77"/>
      <c r="B29" s="78"/>
      <c r="C29" s="90" t="s">
        <v>359</v>
      </c>
      <c r="E29" s="79"/>
      <c r="F29" s="80"/>
      <c r="G29" s="79"/>
      <c r="H29" s="79"/>
      <c r="I29" s="79"/>
      <c r="J29" s="79"/>
      <c r="K29" s="79"/>
      <c r="L29" s="79"/>
      <c r="M29" s="79"/>
      <c r="N29" s="79"/>
      <c r="O29" s="81"/>
      <c r="P29" s="81"/>
      <c r="Q29" s="82"/>
      <c r="R29" s="83"/>
      <c r="S29" s="84"/>
      <c r="T29" s="85"/>
      <c r="U29" s="89"/>
      <c r="V29" s="79"/>
      <c r="W29" s="86"/>
      <c r="X29" s="86"/>
      <c r="Y29" s="87"/>
      <c r="Z29" s="88"/>
    </row>
    <row r="30" spans="1:26" x14ac:dyDescent="0.25">
      <c r="A30" s="77"/>
      <c r="B30" s="78"/>
      <c r="C30" s="90" t="s">
        <v>1287</v>
      </c>
      <c r="E30" s="79"/>
      <c r="F30" s="80"/>
      <c r="G30" s="79"/>
      <c r="H30" s="79"/>
      <c r="I30" s="79"/>
      <c r="J30" s="79"/>
      <c r="K30" s="79"/>
      <c r="L30" s="79"/>
      <c r="M30" s="79"/>
      <c r="N30" s="79"/>
      <c r="O30" s="81"/>
      <c r="P30" s="81"/>
      <c r="Q30" s="82"/>
      <c r="R30" s="83"/>
      <c r="S30" s="84"/>
      <c r="T30" s="85"/>
      <c r="U30" s="89"/>
      <c r="V30" s="79"/>
      <c r="W30" s="86"/>
      <c r="X30" s="86"/>
      <c r="Y30" s="87"/>
      <c r="Z30" s="88"/>
    </row>
    <row r="31" spans="1:26" x14ac:dyDescent="0.25">
      <c r="A31" s="77"/>
      <c r="B31" s="78"/>
      <c r="C31" s="90" t="s">
        <v>1288</v>
      </c>
      <c r="E31" s="79"/>
      <c r="F31" s="80"/>
      <c r="G31" s="79"/>
      <c r="H31" s="79"/>
      <c r="I31" s="79"/>
      <c r="J31" s="79"/>
      <c r="K31" s="79"/>
      <c r="L31" s="79"/>
      <c r="M31" s="79"/>
      <c r="N31" s="79"/>
      <c r="O31" s="81"/>
      <c r="P31" s="81"/>
      <c r="Q31" s="82"/>
      <c r="R31" s="83"/>
      <c r="S31" s="84"/>
      <c r="T31" s="85"/>
      <c r="U31" s="89"/>
      <c r="V31" s="79"/>
      <c r="W31" s="86"/>
      <c r="X31" s="86"/>
      <c r="Y31" s="87"/>
      <c r="Z31" s="88"/>
    </row>
    <row r="32" spans="1:26" x14ac:dyDescent="0.25">
      <c r="A32" s="77"/>
      <c r="B32" s="78"/>
      <c r="C32" s="90" t="s">
        <v>1289</v>
      </c>
      <c r="E32" s="79"/>
      <c r="F32" s="80"/>
      <c r="G32" s="79"/>
      <c r="H32" s="79"/>
      <c r="I32" s="79"/>
      <c r="J32" s="79"/>
      <c r="K32" s="79"/>
      <c r="L32" s="79"/>
      <c r="M32" s="79"/>
      <c r="N32" s="79"/>
      <c r="O32" s="81"/>
      <c r="P32" s="81"/>
      <c r="Q32" s="82"/>
      <c r="R32" s="83"/>
      <c r="S32" s="84"/>
      <c r="T32" s="85"/>
      <c r="U32" s="89"/>
      <c r="V32" s="79"/>
      <c r="W32" s="86"/>
      <c r="X32" s="86"/>
      <c r="Y32" s="87"/>
      <c r="Z32" s="88"/>
    </row>
    <row r="33" spans="1:26" x14ac:dyDescent="0.25">
      <c r="A33" s="77"/>
      <c r="B33" s="78"/>
      <c r="C33" s="90" t="s">
        <v>1290</v>
      </c>
      <c r="E33" s="79"/>
      <c r="F33" s="80"/>
      <c r="G33" s="79"/>
      <c r="H33" s="79"/>
      <c r="I33" s="79"/>
      <c r="J33" s="79"/>
      <c r="K33" s="79"/>
      <c r="L33" s="79"/>
      <c r="M33" s="79"/>
      <c r="N33" s="79"/>
      <c r="O33" s="81"/>
      <c r="P33" s="81"/>
      <c r="Q33" s="82"/>
      <c r="R33" s="83"/>
      <c r="S33" s="84"/>
      <c r="T33" s="85"/>
      <c r="U33" s="89"/>
      <c r="V33" s="79"/>
      <c r="W33" s="86"/>
      <c r="X33" s="86"/>
      <c r="Y33" s="87"/>
      <c r="Z33" s="88"/>
    </row>
    <row r="34" spans="1:26" x14ac:dyDescent="0.25">
      <c r="A34" s="77"/>
      <c r="B34" s="78"/>
      <c r="C34" s="90" t="s">
        <v>1291</v>
      </c>
      <c r="E34" s="79"/>
      <c r="F34" s="80"/>
      <c r="G34" s="79"/>
      <c r="H34" s="79"/>
      <c r="I34" s="79"/>
      <c r="J34" s="79"/>
      <c r="K34" s="79"/>
      <c r="L34" s="79"/>
      <c r="M34" s="79"/>
      <c r="N34" s="79"/>
      <c r="O34" s="81"/>
      <c r="P34" s="81"/>
      <c r="Q34" s="82"/>
      <c r="R34" s="83"/>
      <c r="S34" s="84"/>
      <c r="T34" s="85"/>
      <c r="U34" s="89"/>
      <c r="V34" s="79"/>
      <c r="W34" s="86"/>
      <c r="X34" s="86"/>
      <c r="Y34" s="87"/>
      <c r="Z34" s="88"/>
    </row>
    <row r="35" spans="1:26" x14ac:dyDescent="0.25">
      <c r="A35" s="77"/>
      <c r="B35" s="78"/>
      <c r="C35" s="90" t="s">
        <v>1292</v>
      </c>
      <c r="E35" s="79"/>
      <c r="F35" s="80"/>
      <c r="G35" s="79"/>
      <c r="H35" s="79"/>
      <c r="I35" s="79"/>
      <c r="J35" s="79"/>
      <c r="K35" s="79"/>
      <c r="L35" s="79"/>
      <c r="M35" s="79"/>
      <c r="N35" s="79"/>
      <c r="O35" s="81"/>
      <c r="P35" s="81"/>
      <c r="Q35" s="82"/>
      <c r="R35" s="83"/>
      <c r="S35" s="84"/>
      <c r="T35" s="85"/>
      <c r="U35" s="89"/>
      <c r="V35" s="79"/>
      <c r="W35" s="86"/>
      <c r="X35" s="86"/>
      <c r="Y35" s="87"/>
      <c r="Z35" s="88"/>
    </row>
    <row r="36" spans="1:26" x14ac:dyDescent="0.25">
      <c r="A36" s="77"/>
      <c r="B36" s="78"/>
      <c r="C36" s="90" t="s">
        <v>1293</v>
      </c>
      <c r="E36" s="79"/>
      <c r="F36" s="80"/>
      <c r="G36" s="79"/>
      <c r="H36" s="79"/>
      <c r="I36" s="79"/>
      <c r="J36" s="79"/>
      <c r="K36" s="79"/>
      <c r="L36" s="79"/>
      <c r="M36" s="79"/>
      <c r="N36" s="79"/>
      <c r="O36" s="81"/>
      <c r="P36" s="81"/>
      <c r="Q36" s="82"/>
      <c r="R36" s="83"/>
      <c r="S36" s="84"/>
      <c r="T36" s="85"/>
      <c r="U36" s="89"/>
      <c r="V36" s="79"/>
      <c r="W36" s="86"/>
      <c r="X36" s="86"/>
      <c r="Y36" s="87"/>
      <c r="Z36" s="88"/>
    </row>
    <row r="37" spans="1:26" x14ac:dyDescent="0.25">
      <c r="A37" s="77"/>
      <c r="B37" s="78"/>
      <c r="C37" s="90" t="s">
        <v>1294</v>
      </c>
      <c r="E37" s="79"/>
      <c r="F37" s="80"/>
      <c r="G37" s="79"/>
      <c r="H37" s="79"/>
      <c r="I37" s="79"/>
      <c r="J37" s="79"/>
      <c r="K37" s="79"/>
      <c r="L37" s="79"/>
      <c r="M37" s="79"/>
      <c r="N37" s="79"/>
      <c r="O37" s="81"/>
      <c r="P37" s="81"/>
      <c r="Q37" s="82"/>
      <c r="R37" s="83"/>
      <c r="S37" s="84"/>
      <c r="T37" s="85"/>
      <c r="U37" s="89"/>
      <c r="V37" s="79"/>
      <c r="W37" s="86"/>
      <c r="X37" s="86"/>
      <c r="Y37" s="87"/>
      <c r="Z37" s="88"/>
    </row>
    <row r="38" spans="1:26" x14ac:dyDescent="0.25">
      <c r="A38" s="77"/>
      <c r="B38" s="78"/>
      <c r="C38" s="90" t="s">
        <v>1295</v>
      </c>
      <c r="E38" s="79"/>
      <c r="F38" s="80"/>
      <c r="G38" s="79"/>
      <c r="H38" s="79"/>
      <c r="I38" s="79"/>
      <c r="J38" s="79"/>
      <c r="K38" s="79"/>
      <c r="L38" s="79"/>
      <c r="M38" s="79"/>
      <c r="N38" s="79"/>
      <c r="O38" s="81"/>
      <c r="P38" s="81"/>
      <c r="Q38" s="82"/>
      <c r="R38" s="83"/>
      <c r="S38" s="84"/>
      <c r="T38" s="85"/>
      <c r="U38" s="89"/>
      <c r="V38" s="79"/>
      <c r="W38" s="86"/>
      <c r="X38" s="86"/>
      <c r="Y38" s="87"/>
      <c r="Z38" s="88"/>
    </row>
    <row r="39" spans="1:26" x14ac:dyDescent="0.25">
      <c r="A39" s="77"/>
      <c r="B39" s="78"/>
      <c r="C39" s="90" t="s">
        <v>1296</v>
      </c>
      <c r="E39" s="79"/>
      <c r="F39" s="80"/>
      <c r="G39" s="79"/>
      <c r="H39" s="79"/>
      <c r="I39" s="79"/>
      <c r="J39" s="79"/>
      <c r="K39" s="79"/>
      <c r="L39" s="79"/>
      <c r="M39" s="79"/>
      <c r="N39" s="79"/>
      <c r="O39" s="81"/>
      <c r="P39" s="81"/>
      <c r="Q39" s="82"/>
      <c r="R39" s="83"/>
      <c r="S39" s="84"/>
      <c r="T39" s="85"/>
      <c r="U39" s="89"/>
      <c r="V39" s="79"/>
      <c r="W39" s="86"/>
      <c r="X39" s="86"/>
      <c r="Y39" s="87"/>
      <c r="Z39" s="88"/>
    </row>
    <row r="40" spans="1:26" x14ac:dyDescent="0.25">
      <c r="A40" s="77"/>
      <c r="B40" s="78"/>
      <c r="C40" s="90" t="s">
        <v>1297</v>
      </c>
      <c r="E40" s="79"/>
      <c r="F40" s="80"/>
      <c r="G40" s="79"/>
      <c r="H40" s="79"/>
      <c r="I40" s="79"/>
      <c r="J40" s="79"/>
      <c r="K40" s="79"/>
      <c r="L40" s="79"/>
      <c r="M40" s="79"/>
      <c r="N40" s="79"/>
      <c r="O40" s="81"/>
      <c r="P40" s="81"/>
      <c r="Q40" s="82"/>
      <c r="R40" s="83"/>
      <c r="S40" s="84"/>
      <c r="T40" s="85"/>
      <c r="U40" s="89"/>
      <c r="V40" s="79"/>
      <c r="W40" s="86"/>
      <c r="X40" s="86"/>
      <c r="Y40" s="87"/>
      <c r="Z40" s="88"/>
    </row>
    <row r="41" spans="1:26" x14ac:dyDescent="0.25">
      <c r="A41" s="77"/>
      <c r="B41" s="78"/>
      <c r="C41" s="90" t="s">
        <v>1298</v>
      </c>
      <c r="E41" s="79"/>
      <c r="F41" s="80"/>
      <c r="G41" s="79"/>
      <c r="H41" s="79"/>
      <c r="I41" s="79"/>
      <c r="J41" s="79"/>
      <c r="K41" s="79"/>
      <c r="L41" s="79"/>
      <c r="M41" s="79"/>
      <c r="N41" s="79"/>
      <c r="O41" s="81"/>
      <c r="P41" s="81"/>
      <c r="Q41" s="82"/>
      <c r="R41" s="83"/>
      <c r="S41" s="84"/>
      <c r="T41" s="85"/>
      <c r="U41" s="89"/>
      <c r="V41" s="79"/>
      <c r="W41" s="86"/>
      <c r="X41" s="86"/>
      <c r="Y41" s="87"/>
      <c r="Z41" s="88"/>
    </row>
    <row r="42" spans="1:26" x14ac:dyDescent="0.25">
      <c r="A42" s="77"/>
      <c r="B42" s="78"/>
      <c r="C42" s="90" t="s">
        <v>1299</v>
      </c>
      <c r="E42" s="79"/>
      <c r="F42" s="80"/>
      <c r="G42" s="79"/>
      <c r="H42" s="79"/>
      <c r="I42" s="79"/>
      <c r="J42" s="79"/>
      <c r="K42" s="79"/>
      <c r="L42" s="79"/>
      <c r="M42" s="79"/>
      <c r="N42" s="79"/>
      <c r="O42" s="81"/>
      <c r="P42" s="81"/>
      <c r="Q42" s="82"/>
      <c r="R42" s="83"/>
      <c r="S42" s="84"/>
      <c r="T42" s="85"/>
      <c r="U42" s="89"/>
      <c r="V42" s="79"/>
      <c r="W42" s="86"/>
      <c r="X42" s="86"/>
      <c r="Y42" s="87"/>
      <c r="Z42" s="88"/>
    </row>
    <row r="43" spans="1:26" x14ac:dyDescent="0.25">
      <c r="A43" s="77"/>
      <c r="B43" s="78"/>
      <c r="C43" s="90" t="s">
        <v>1300</v>
      </c>
      <c r="E43" s="79"/>
      <c r="F43" s="80"/>
      <c r="G43" s="79"/>
      <c r="H43" s="79"/>
      <c r="I43" s="79"/>
      <c r="J43" s="79"/>
      <c r="K43" s="79"/>
      <c r="L43" s="79"/>
      <c r="M43" s="79"/>
      <c r="N43" s="79"/>
      <c r="O43" s="81"/>
      <c r="P43" s="81"/>
      <c r="Q43" s="82"/>
      <c r="R43" s="83"/>
      <c r="S43" s="84"/>
      <c r="T43" s="85"/>
      <c r="U43" s="89"/>
      <c r="V43" s="79"/>
      <c r="W43" s="86"/>
      <c r="X43" s="86"/>
      <c r="Y43" s="87"/>
      <c r="Z43" s="88"/>
    </row>
    <row r="44" spans="1:26" x14ac:dyDescent="0.25">
      <c r="A44" s="77"/>
      <c r="B44" s="78"/>
      <c r="C44" s="90" t="s">
        <v>1301</v>
      </c>
      <c r="E44" s="79"/>
      <c r="F44" s="80"/>
      <c r="G44" s="79"/>
      <c r="H44" s="79"/>
      <c r="I44" s="79"/>
      <c r="J44" s="79"/>
      <c r="K44" s="79"/>
      <c r="L44" s="79"/>
      <c r="M44" s="79"/>
      <c r="N44" s="79"/>
      <c r="O44" s="81"/>
      <c r="P44" s="81"/>
      <c r="Q44" s="82"/>
      <c r="R44" s="83"/>
      <c r="S44" s="84"/>
      <c r="T44" s="85"/>
      <c r="U44" s="89"/>
      <c r="V44" s="79"/>
      <c r="W44" s="86"/>
      <c r="X44" s="86"/>
      <c r="Y44" s="87"/>
      <c r="Z44" s="88"/>
    </row>
    <row r="45" spans="1:26" x14ac:dyDescent="0.25">
      <c r="A45" s="77"/>
      <c r="B45" s="78"/>
      <c r="C45" s="90" t="s">
        <v>1302</v>
      </c>
      <c r="E45" s="79"/>
      <c r="F45" s="80"/>
      <c r="G45" s="79"/>
      <c r="H45" s="79"/>
      <c r="I45" s="79"/>
      <c r="J45" s="79"/>
      <c r="K45" s="79"/>
      <c r="L45" s="79"/>
      <c r="M45" s="79"/>
      <c r="N45" s="79"/>
      <c r="O45" s="81"/>
      <c r="P45" s="81"/>
      <c r="Q45" s="82"/>
      <c r="R45" s="83"/>
      <c r="S45" s="84"/>
      <c r="T45" s="85"/>
      <c r="U45" s="89"/>
      <c r="V45" s="79"/>
      <c r="W45" s="86"/>
      <c r="X45" s="86"/>
      <c r="Y45" s="87"/>
      <c r="Z45" s="88"/>
    </row>
    <row r="46" spans="1:26" x14ac:dyDescent="0.25">
      <c r="A46" s="77"/>
      <c r="B46" s="78"/>
      <c r="C46" s="90" t="s">
        <v>1303</v>
      </c>
      <c r="E46" s="79"/>
      <c r="F46" s="80"/>
      <c r="G46" s="79"/>
      <c r="H46" s="79"/>
      <c r="I46" s="79"/>
      <c r="J46" s="79"/>
      <c r="K46" s="79"/>
      <c r="L46" s="79"/>
      <c r="M46" s="79"/>
      <c r="N46" s="79"/>
      <c r="O46" s="81"/>
      <c r="P46" s="81"/>
      <c r="Q46" s="82"/>
      <c r="R46" s="83"/>
      <c r="S46" s="84"/>
      <c r="T46" s="85"/>
      <c r="U46" s="89"/>
      <c r="V46" s="79"/>
      <c r="W46" s="86"/>
      <c r="X46" s="86"/>
      <c r="Y46" s="87"/>
      <c r="Z46" s="88"/>
    </row>
    <row r="47" spans="1:26" x14ac:dyDescent="0.25">
      <c r="A47" s="77"/>
      <c r="B47" s="78"/>
      <c r="C47" s="90" t="s">
        <v>1304</v>
      </c>
      <c r="E47" s="79"/>
      <c r="F47" s="80"/>
      <c r="G47" s="79"/>
      <c r="H47" s="79"/>
      <c r="I47" s="79"/>
      <c r="J47" s="79"/>
      <c r="K47" s="79"/>
      <c r="L47" s="79"/>
      <c r="M47" s="79"/>
      <c r="N47" s="79"/>
      <c r="O47" s="81"/>
      <c r="P47" s="81"/>
      <c r="Q47" s="82"/>
      <c r="R47" s="83"/>
      <c r="S47" s="84"/>
      <c r="T47" s="85"/>
      <c r="U47" s="89"/>
      <c r="V47" s="79"/>
      <c r="W47" s="86"/>
      <c r="X47" s="86"/>
      <c r="Y47" s="87"/>
      <c r="Z47" s="88"/>
    </row>
    <row r="48" spans="1:26" x14ac:dyDescent="0.25">
      <c r="A48" s="77"/>
      <c r="B48" s="78"/>
      <c r="C48" s="90" t="s">
        <v>1305</v>
      </c>
      <c r="E48" s="79"/>
      <c r="F48" s="80"/>
      <c r="G48" s="79"/>
      <c r="H48" s="79"/>
      <c r="I48" s="79"/>
      <c r="J48" s="79"/>
      <c r="K48" s="79"/>
      <c r="L48" s="79"/>
      <c r="M48" s="79"/>
      <c r="N48" s="79"/>
      <c r="O48" s="81"/>
      <c r="P48" s="81"/>
      <c r="Q48" s="82"/>
      <c r="R48" s="83"/>
      <c r="S48" s="84"/>
      <c r="T48" s="85"/>
      <c r="U48" s="89"/>
      <c r="V48" s="79"/>
      <c r="W48" s="86"/>
      <c r="X48" s="86"/>
      <c r="Y48" s="87"/>
      <c r="Z48" s="88"/>
    </row>
    <row r="49" spans="1:26" x14ac:dyDescent="0.25">
      <c r="A49" s="77"/>
      <c r="B49" s="78"/>
      <c r="C49" s="90" t="s">
        <v>1306</v>
      </c>
      <c r="E49" s="79"/>
      <c r="F49" s="80"/>
      <c r="G49" s="79"/>
      <c r="H49" s="79"/>
      <c r="I49" s="79"/>
      <c r="J49" s="79"/>
      <c r="K49" s="79"/>
      <c r="L49" s="79"/>
      <c r="M49" s="79"/>
      <c r="N49" s="79"/>
      <c r="O49" s="81"/>
      <c r="P49" s="81"/>
      <c r="Q49" s="82"/>
      <c r="R49" s="83"/>
      <c r="S49" s="84"/>
      <c r="T49" s="85"/>
      <c r="U49" s="89"/>
      <c r="V49" s="79"/>
      <c r="W49" s="86"/>
      <c r="X49" s="86"/>
      <c r="Y49" s="87"/>
      <c r="Z49" s="88"/>
    </row>
    <row r="50" spans="1:26" x14ac:dyDescent="0.25">
      <c r="C50" s="91" t="s">
        <v>1307</v>
      </c>
      <c r="F50" s="80"/>
    </row>
    <row r="51" spans="1:26" x14ac:dyDescent="0.25">
      <c r="C51" s="91" t="s">
        <v>1308</v>
      </c>
      <c r="F51" s="80"/>
    </row>
    <row r="52" spans="1:26" x14ac:dyDescent="0.25">
      <c r="C52" s="91" t="s">
        <v>1309</v>
      </c>
      <c r="F52" s="80"/>
    </row>
    <row r="53" spans="1:26" x14ac:dyDescent="0.25">
      <c r="C53" s="91" t="s">
        <v>1310</v>
      </c>
      <c r="F53" s="80"/>
    </row>
    <row r="54" spans="1:26" x14ac:dyDescent="0.25">
      <c r="C54" s="91" t="s">
        <v>1311</v>
      </c>
      <c r="F54" s="80"/>
    </row>
    <row r="55" spans="1:26" x14ac:dyDescent="0.25">
      <c r="C55" s="91" t="s">
        <v>1312</v>
      </c>
      <c r="F55" s="80"/>
    </row>
    <row r="56" spans="1:26" x14ac:dyDescent="0.25">
      <c r="C56" s="91" t="s">
        <v>1313</v>
      </c>
      <c r="F56" s="80"/>
    </row>
    <row r="57" spans="1:26" x14ac:dyDescent="0.25">
      <c r="C57" s="91" t="s">
        <v>1314</v>
      </c>
      <c r="F57" s="80"/>
    </row>
    <row r="58" spans="1:26" x14ac:dyDescent="0.25">
      <c r="C58" s="91" t="s">
        <v>1315</v>
      </c>
      <c r="F58" s="80"/>
    </row>
    <row r="59" spans="1:26" x14ac:dyDescent="0.25">
      <c r="C59" s="91" t="s">
        <v>1316</v>
      </c>
      <c r="F59" s="80"/>
    </row>
    <row r="60" spans="1:26" x14ac:dyDescent="0.25">
      <c r="C60" s="91" t="s">
        <v>1317</v>
      </c>
      <c r="E60" t="s">
        <v>75</v>
      </c>
      <c r="F60" s="80"/>
    </row>
    <row r="61" spans="1:26" x14ac:dyDescent="0.25">
      <c r="C61" s="91" t="s">
        <v>1317</v>
      </c>
      <c r="E61" t="s">
        <v>79</v>
      </c>
      <c r="F61" s="80"/>
    </row>
    <row r="62" spans="1:26" x14ac:dyDescent="0.25">
      <c r="C62" s="91" t="s">
        <v>1317</v>
      </c>
      <c r="E62" t="s">
        <v>81</v>
      </c>
      <c r="F62" s="80"/>
    </row>
    <row r="63" spans="1:26" x14ac:dyDescent="0.25">
      <c r="C63" s="91" t="s">
        <v>1313</v>
      </c>
      <c r="E63" t="s">
        <v>83</v>
      </c>
      <c r="F63" s="80"/>
    </row>
    <row r="64" spans="1:26" x14ac:dyDescent="0.25">
      <c r="C64" s="91" t="s">
        <v>1308</v>
      </c>
      <c r="E64" t="s">
        <v>85</v>
      </c>
      <c r="F64" s="80"/>
    </row>
    <row r="65" spans="3:6" x14ac:dyDescent="0.25">
      <c r="C65" s="91" t="s">
        <v>1287</v>
      </c>
      <c r="E65" t="s">
        <v>86</v>
      </c>
      <c r="F65" s="80"/>
    </row>
    <row r="66" spans="3:6" x14ac:dyDescent="0.25">
      <c r="C66" s="91" t="s">
        <v>1270</v>
      </c>
      <c r="E66" t="s">
        <v>87</v>
      </c>
      <c r="F66" s="80"/>
    </row>
    <row r="67" spans="3:6" x14ac:dyDescent="0.25">
      <c r="C67" s="91" t="s">
        <v>1268</v>
      </c>
      <c r="E67" t="s">
        <v>88</v>
      </c>
      <c r="F67" s="80"/>
    </row>
    <row r="68" spans="3:6" x14ac:dyDescent="0.25">
      <c r="C68" s="91" t="s">
        <v>1298</v>
      </c>
      <c r="E68" t="s">
        <v>89</v>
      </c>
      <c r="F68" s="80"/>
    </row>
    <row r="69" spans="3:6" x14ac:dyDescent="0.25">
      <c r="C69" s="91" t="s">
        <v>1278</v>
      </c>
      <c r="E69" t="s">
        <v>90</v>
      </c>
      <c r="F69" s="80"/>
    </row>
    <row r="70" spans="3:6" x14ac:dyDescent="0.25">
      <c r="C70" s="91" t="s">
        <v>1318</v>
      </c>
      <c r="E70" t="s">
        <v>92</v>
      </c>
      <c r="F70" s="80"/>
    </row>
    <row r="71" spans="3:6" x14ac:dyDescent="0.25">
      <c r="C71" s="91" t="s">
        <v>1294</v>
      </c>
      <c r="E71" t="s">
        <v>93</v>
      </c>
      <c r="F71" s="80"/>
    </row>
    <row r="72" spans="3:6" x14ac:dyDescent="0.25">
      <c r="C72" s="91" t="s">
        <v>1278</v>
      </c>
      <c r="E72" t="s">
        <v>94</v>
      </c>
      <c r="F72" s="80"/>
    </row>
    <row r="73" spans="3:6" x14ac:dyDescent="0.25">
      <c r="C73" s="91" t="s">
        <v>1307</v>
      </c>
      <c r="E73" t="s">
        <v>95</v>
      </c>
      <c r="F73" s="80"/>
    </row>
    <row r="74" spans="3:6" x14ac:dyDescent="0.25">
      <c r="C74" s="91" t="s">
        <v>1317</v>
      </c>
      <c r="E74" t="s">
        <v>96</v>
      </c>
      <c r="F74" s="80"/>
    </row>
    <row r="75" spans="3:6" x14ac:dyDescent="0.25">
      <c r="C75" s="91" t="s">
        <v>1290</v>
      </c>
      <c r="E75" t="s">
        <v>97</v>
      </c>
      <c r="F75" s="80"/>
    </row>
    <row r="76" spans="3:6" x14ac:dyDescent="0.25">
      <c r="C76" s="91" t="s">
        <v>1317</v>
      </c>
      <c r="E76" t="s">
        <v>98</v>
      </c>
      <c r="F76" s="80"/>
    </row>
    <row r="77" spans="3:6" x14ac:dyDescent="0.25">
      <c r="C77" s="91" t="s">
        <v>1319</v>
      </c>
      <c r="E77" t="s">
        <v>100</v>
      </c>
      <c r="F77" s="80"/>
    </row>
    <row r="78" spans="3:6" x14ac:dyDescent="0.25">
      <c r="C78" s="91" t="s">
        <v>1317</v>
      </c>
      <c r="E78" t="s">
        <v>101</v>
      </c>
      <c r="F78" s="80"/>
    </row>
    <row r="79" spans="3:6" x14ac:dyDescent="0.25">
      <c r="C79" s="91" t="s">
        <v>1320</v>
      </c>
      <c r="E79" t="s">
        <v>76</v>
      </c>
      <c r="F79" s="80"/>
    </row>
    <row r="80" spans="3:6" x14ac:dyDescent="0.25">
      <c r="C80" s="91" t="s">
        <v>1321</v>
      </c>
      <c r="F80" s="80"/>
    </row>
    <row r="81" spans="3:6" x14ac:dyDescent="0.25">
      <c r="C81" s="91" t="s">
        <v>1322</v>
      </c>
      <c r="F81" s="80"/>
    </row>
    <row r="82" spans="3:6" x14ac:dyDescent="0.25">
      <c r="C82" s="91" t="s">
        <v>1323</v>
      </c>
      <c r="F82" s="80"/>
    </row>
    <row r="83" spans="3:6" x14ac:dyDescent="0.25">
      <c r="C83" s="91" t="s">
        <v>1322</v>
      </c>
      <c r="F83" s="80"/>
    </row>
    <row r="84" spans="3:6" x14ac:dyDescent="0.25">
      <c r="C84" s="91" t="s">
        <v>1324</v>
      </c>
      <c r="E84" t="s">
        <v>104</v>
      </c>
      <c r="F84" s="80"/>
    </row>
    <row r="85" spans="3:6" x14ac:dyDescent="0.25">
      <c r="C85" s="91" t="s">
        <v>1324</v>
      </c>
      <c r="E85" t="s">
        <v>104</v>
      </c>
      <c r="F85" s="80"/>
    </row>
    <row r="86" spans="3:6" x14ac:dyDescent="0.25">
      <c r="C86" s="91" t="s">
        <v>1280</v>
      </c>
      <c r="E86" t="s">
        <v>76</v>
      </c>
      <c r="F86" s="80"/>
    </row>
    <row r="87" spans="3:6" x14ac:dyDescent="0.25">
      <c r="C87" s="91" t="s">
        <v>1325</v>
      </c>
      <c r="E87" t="s">
        <v>76</v>
      </c>
      <c r="F87" s="80"/>
    </row>
    <row r="88" spans="3:6" x14ac:dyDescent="0.25">
      <c r="C88" s="91" t="s">
        <v>1312</v>
      </c>
      <c r="E88" t="s">
        <v>76</v>
      </c>
      <c r="F88" s="80"/>
    </row>
    <row r="89" spans="3:6" x14ac:dyDescent="0.25">
      <c r="C89" s="91" t="s">
        <v>653</v>
      </c>
      <c r="E89" t="s">
        <v>76</v>
      </c>
      <c r="F89" s="80"/>
    </row>
    <row r="90" spans="3:6" x14ac:dyDescent="0.25">
      <c r="C90" s="91" t="s">
        <v>1271</v>
      </c>
      <c r="E90" t="s">
        <v>76</v>
      </c>
      <c r="F90" s="80"/>
    </row>
    <row r="91" spans="3:6" x14ac:dyDescent="0.25">
      <c r="C91" s="91" t="s">
        <v>1326</v>
      </c>
      <c r="E91" t="s">
        <v>76</v>
      </c>
      <c r="F91" s="80"/>
    </row>
    <row r="92" spans="3:6" x14ac:dyDescent="0.25">
      <c r="C92" s="91" t="s">
        <v>1327</v>
      </c>
      <c r="E92" t="s">
        <v>76</v>
      </c>
      <c r="F92" s="80"/>
    </row>
    <row r="93" spans="3:6" x14ac:dyDescent="0.25">
      <c r="C93" s="91" t="s">
        <v>1301</v>
      </c>
      <c r="E93" t="s">
        <v>76</v>
      </c>
      <c r="F93" s="80"/>
    </row>
    <row r="94" spans="3:6" x14ac:dyDescent="0.25">
      <c r="C94" s="91" t="s">
        <v>1296</v>
      </c>
      <c r="E94" t="s">
        <v>76</v>
      </c>
      <c r="F94" s="80"/>
    </row>
    <row r="95" spans="3:6" x14ac:dyDescent="0.25">
      <c r="C95" s="91" t="s">
        <v>1328</v>
      </c>
      <c r="E95" t="s">
        <v>76</v>
      </c>
      <c r="F95" s="80"/>
    </row>
    <row r="96" spans="3:6" x14ac:dyDescent="0.25">
      <c r="C96" s="91" t="s">
        <v>1311</v>
      </c>
      <c r="E96" t="s">
        <v>76</v>
      </c>
      <c r="F96" s="80"/>
    </row>
    <row r="97" spans="3:6" x14ac:dyDescent="0.25">
      <c r="C97" s="91" t="s">
        <v>1329</v>
      </c>
      <c r="E97" t="s">
        <v>76</v>
      </c>
      <c r="F97" s="80"/>
    </row>
    <row r="98" spans="3:6" x14ac:dyDescent="0.25">
      <c r="C98" s="91" t="s">
        <v>1330</v>
      </c>
      <c r="E98" t="s">
        <v>76</v>
      </c>
      <c r="F98" s="80"/>
    </row>
    <row r="99" spans="3:6" x14ac:dyDescent="0.25">
      <c r="C99" s="91" t="s">
        <v>1331</v>
      </c>
      <c r="E99" t="s">
        <v>76</v>
      </c>
      <c r="F99" s="80"/>
    </row>
    <row r="100" spans="3:6" x14ac:dyDescent="0.25">
      <c r="C100" s="91" t="s">
        <v>1332</v>
      </c>
      <c r="E100" t="s">
        <v>76</v>
      </c>
      <c r="F100" s="80"/>
    </row>
    <row r="101" spans="3:6" x14ac:dyDescent="0.25">
      <c r="C101" s="91" t="s">
        <v>1277</v>
      </c>
      <c r="E101" t="s">
        <v>76</v>
      </c>
      <c r="F101" s="80"/>
    </row>
    <row r="102" spans="3:6" x14ac:dyDescent="0.25">
      <c r="C102" s="91" t="s">
        <v>1333</v>
      </c>
      <c r="E102" t="s">
        <v>76</v>
      </c>
      <c r="F102" s="80"/>
    </row>
    <row r="103" spans="3:6" x14ac:dyDescent="0.25">
      <c r="C103" s="91" t="s">
        <v>1334</v>
      </c>
      <c r="E103" t="s">
        <v>76</v>
      </c>
      <c r="F103" s="80"/>
    </row>
    <row r="104" spans="3:6" x14ac:dyDescent="0.25">
      <c r="C104" s="91" t="s">
        <v>1335</v>
      </c>
      <c r="E104" t="s">
        <v>76</v>
      </c>
      <c r="F104" s="80"/>
    </row>
    <row r="105" spans="3:6" x14ac:dyDescent="0.25">
      <c r="C105" s="91" t="s">
        <v>1336</v>
      </c>
      <c r="E105" t="s">
        <v>76</v>
      </c>
      <c r="F105" s="80"/>
    </row>
    <row r="106" spans="3:6" x14ac:dyDescent="0.25">
      <c r="C106" s="91" t="s">
        <v>1297</v>
      </c>
      <c r="E106" t="s">
        <v>76</v>
      </c>
      <c r="F106" s="80"/>
    </row>
    <row r="107" spans="3:6" x14ac:dyDescent="0.25">
      <c r="C107" s="91" t="s">
        <v>1337</v>
      </c>
      <c r="E107" t="s">
        <v>76</v>
      </c>
      <c r="F107" s="80"/>
    </row>
    <row r="108" spans="3:6" x14ac:dyDescent="0.25">
      <c r="C108" s="91" t="s">
        <v>1338</v>
      </c>
      <c r="E108" t="s">
        <v>76</v>
      </c>
      <c r="F108" s="80"/>
    </row>
    <row r="109" spans="3:6" x14ac:dyDescent="0.25">
      <c r="C109" s="91" t="s">
        <v>1339</v>
      </c>
      <c r="E109" t="s">
        <v>76</v>
      </c>
      <c r="F109" s="80"/>
    </row>
    <row r="110" spans="3:6" x14ac:dyDescent="0.25">
      <c r="C110" s="91" t="s">
        <v>1304</v>
      </c>
      <c r="E110" t="s">
        <v>76</v>
      </c>
      <c r="F110" s="80"/>
    </row>
    <row r="111" spans="3:6" x14ac:dyDescent="0.25">
      <c r="C111" s="91" t="s">
        <v>1340</v>
      </c>
      <c r="E111" t="s">
        <v>76</v>
      </c>
      <c r="F111" s="80"/>
    </row>
    <row r="112" spans="3:6" x14ac:dyDescent="0.25">
      <c r="C112" s="91" t="s">
        <v>1275</v>
      </c>
      <c r="E112" t="s">
        <v>76</v>
      </c>
      <c r="F112" s="80"/>
    </row>
    <row r="113" spans="3:6" x14ac:dyDescent="0.25">
      <c r="C113" s="91" t="s">
        <v>1341</v>
      </c>
      <c r="E113" t="s">
        <v>76</v>
      </c>
      <c r="F113" s="80"/>
    </row>
    <row r="114" spans="3:6" x14ac:dyDescent="0.25">
      <c r="C114" s="91" t="s">
        <v>1274</v>
      </c>
      <c r="E114" t="s">
        <v>76</v>
      </c>
      <c r="F114" s="80"/>
    </row>
    <row r="115" spans="3:6" x14ac:dyDescent="0.25">
      <c r="C115" s="91" t="s">
        <v>1306</v>
      </c>
      <c r="E115" t="s">
        <v>76</v>
      </c>
      <c r="F115" s="80"/>
    </row>
    <row r="116" spans="3:6" x14ac:dyDescent="0.25">
      <c r="C116" s="91" t="s">
        <v>1342</v>
      </c>
      <c r="E116" t="s">
        <v>76</v>
      </c>
      <c r="F116" s="80"/>
    </row>
    <row r="117" spans="3:6" x14ac:dyDescent="0.25">
      <c r="C117" s="91" t="s">
        <v>1343</v>
      </c>
      <c r="E117" t="s">
        <v>76</v>
      </c>
      <c r="F117" s="80"/>
    </row>
    <row r="118" spans="3:6" x14ac:dyDescent="0.25">
      <c r="C118" s="91" t="s">
        <v>1317</v>
      </c>
      <c r="E118" t="s">
        <v>75</v>
      </c>
      <c r="F118" s="80"/>
    </row>
    <row r="119" spans="3:6" x14ac:dyDescent="0.25">
      <c r="C119" s="91" t="s">
        <v>1344</v>
      </c>
      <c r="E119" t="s">
        <v>114</v>
      </c>
      <c r="F119" s="80"/>
    </row>
    <row r="120" spans="3:6" x14ac:dyDescent="0.25">
      <c r="C120" s="91" t="s">
        <v>1297</v>
      </c>
      <c r="E120" t="s">
        <v>116</v>
      </c>
      <c r="F120" s="80"/>
    </row>
    <row r="121" spans="3:6" x14ac:dyDescent="0.25">
      <c r="C121" s="91" t="s">
        <v>1345</v>
      </c>
      <c r="E121" t="s">
        <v>118</v>
      </c>
      <c r="F121" s="80"/>
    </row>
    <row r="122" spans="3:6" x14ac:dyDescent="0.25">
      <c r="C122" s="91" t="s">
        <v>1328</v>
      </c>
      <c r="E122" t="s">
        <v>120</v>
      </c>
      <c r="F122" s="80"/>
    </row>
    <row r="123" spans="3:6" x14ac:dyDescent="0.25">
      <c r="C123" s="91" t="s">
        <v>1301</v>
      </c>
      <c r="E123" t="s">
        <v>121</v>
      </c>
      <c r="F123" s="80"/>
    </row>
    <row r="124" spans="3:6" x14ac:dyDescent="0.25">
      <c r="C124" s="91" t="s">
        <v>1317</v>
      </c>
      <c r="E124" t="s">
        <v>79</v>
      </c>
      <c r="F124" s="80"/>
    </row>
    <row r="125" spans="3:6" x14ac:dyDescent="0.25">
      <c r="C125" s="91" t="s">
        <v>1317</v>
      </c>
      <c r="E125" t="s">
        <v>81</v>
      </c>
      <c r="F125" s="80"/>
    </row>
    <row r="126" spans="3:6" x14ac:dyDescent="0.25">
      <c r="C126" s="91" t="s">
        <v>1297</v>
      </c>
      <c r="E126" t="s">
        <v>123</v>
      </c>
      <c r="F126" s="80"/>
    </row>
    <row r="127" spans="3:6" x14ac:dyDescent="0.25">
      <c r="C127" s="91" t="s">
        <v>1297</v>
      </c>
      <c r="E127" t="s">
        <v>124</v>
      </c>
      <c r="F127" s="80"/>
    </row>
    <row r="128" spans="3:6" x14ac:dyDescent="0.25">
      <c r="C128" s="91" t="s">
        <v>1317</v>
      </c>
      <c r="E128" t="s">
        <v>96</v>
      </c>
      <c r="F128" s="80"/>
    </row>
    <row r="129" spans="3:6" x14ac:dyDescent="0.25">
      <c r="C129" s="91" t="s">
        <v>1317</v>
      </c>
      <c r="E129" t="s">
        <v>98</v>
      </c>
      <c r="F129" s="80"/>
    </row>
    <row r="130" spans="3:6" x14ac:dyDescent="0.25">
      <c r="C130" s="91" t="s">
        <v>1345</v>
      </c>
      <c r="E130" t="s">
        <v>125</v>
      </c>
      <c r="F130" s="80"/>
    </row>
    <row r="131" spans="3:6" x14ac:dyDescent="0.25">
      <c r="C131" s="91" t="s">
        <v>1317</v>
      </c>
      <c r="E131" t="s">
        <v>101</v>
      </c>
      <c r="F131" s="80"/>
    </row>
    <row r="132" spans="3:6" x14ac:dyDescent="0.25">
      <c r="C132" s="91" t="s">
        <v>1323</v>
      </c>
      <c r="F132" s="80"/>
    </row>
    <row r="133" spans="3:6" x14ac:dyDescent="0.25">
      <c r="C133" s="91" t="s">
        <v>1322</v>
      </c>
      <c r="F133" s="80"/>
    </row>
    <row r="134" spans="3:6" x14ac:dyDescent="0.25">
      <c r="C134" s="91" t="s">
        <v>1321</v>
      </c>
      <c r="F134" s="80"/>
    </row>
    <row r="135" spans="3:6" x14ac:dyDescent="0.25">
      <c r="C135" s="91" t="s">
        <v>1268</v>
      </c>
      <c r="E135" t="s">
        <v>76</v>
      </c>
      <c r="F135" s="80"/>
    </row>
    <row r="136" spans="3:6" x14ac:dyDescent="0.25">
      <c r="C136" s="91" t="s">
        <v>1278</v>
      </c>
      <c r="E136" t="s">
        <v>76</v>
      </c>
      <c r="F136" s="80"/>
    </row>
    <row r="137" spans="3:6" x14ac:dyDescent="0.25">
      <c r="C137" s="91" t="s">
        <v>1272</v>
      </c>
      <c r="E137" t="s">
        <v>76</v>
      </c>
      <c r="F137" s="80"/>
    </row>
    <row r="138" spans="3:6" x14ac:dyDescent="0.25">
      <c r="C138" s="91" t="s">
        <v>1269</v>
      </c>
      <c r="E138" t="s">
        <v>76</v>
      </c>
      <c r="F138" s="80"/>
    </row>
    <row r="139" spans="3:6" x14ac:dyDescent="0.25">
      <c r="C139" s="91" t="s">
        <v>1270</v>
      </c>
      <c r="E139" t="s">
        <v>76</v>
      </c>
      <c r="F139" s="80"/>
    </row>
    <row r="140" spans="3:6" x14ac:dyDescent="0.25">
      <c r="C140" s="91" t="s">
        <v>1299</v>
      </c>
      <c r="E140" t="s">
        <v>76</v>
      </c>
      <c r="F140" s="80"/>
    </row>
    <row r="141" spans="3:6" x14ac:dyDescent="0.25">
      <c r="C141" s="91" t="s">
        <v>1289</v>
      </c>
      <c r="E141" t="s">
        <v>76</v>
      </c>
      <c r="F141" s="80"/>
    </row>
    <row r="142" spans="3:6" x14ac:dyDescent="0.25">
      <c r="C142" s="91" t="s">
        <v>1274</v>
      </c>
      <c r="E142" t="s">
        <v>76</v>
      </c>
      <c r="F142" s="80"/>
    </row>
    <row r="143" spans="3:6" x14ac:dyDescent="0.25">
      <c r="C143" s="91" t="s">
        <v>1283</v>
      </c>
      <c r="E143" t="s">
        <v>76</v>
      </c>
      <c r="F143" s="80"/>
    </row>
    <row r="144" spans="3:6" x14ac:dyDescent="0.25">
      <c r="C144" s="91" t="s">
        <v>1273</v>
      </c>
      <c r="E144" t="s">
        <v>76</v>
      </c>
      <c r="F144" s="80"/>
    </row>
    <row r="145" spans="3:6" x14ac:dyDescent="0.25">
      <c r="C145" s="91" t="s">
        <v>1271</v>
      </c>
      <c r="E145" t="s">
        <v>76</v>
      </c>
      <c r="F145" s="80"/>
    </row>
    <row r="146" spans="3:6" x14ac:dyDescent="0.25">
      <c r="C146" s="91" t="s">
        <v>1285</v>
      </c>
      <c r="E146" t="s">
        <v>76</v>
      </c>
      <c r="F146" s="80"/>
    </row>
    <row r="147" spans="3:6" x14ac:dyDescent="0.25">
      <c r="C147" s="91" t="s">
        <v>1287</v>
      </c>
      <c r="E147" t="s">
        <v>76</v>
      </c>
      <c r="F147" s="80"/>
    </row>
    <row r="148" spans="3:6" x14ac:dyDescent="0.25">
      <c r="C148" s="91" t="s">
        <v>1277</v>
      </c>
      <c r="E148" t="s">
        <v>76</v>
      </c>
      <c r="F148" s="80"/>
    </row>
    <row r="149" spans="3:6" x14ac:dyDescent="0.25">
      <c r="C149" s="91" t="s">
        <v>1282</v>
      </c>
      <c r="E149" t="s">
        <v>76</v>
      </c>
      <c r="F149" s="80"/>
    </row>
    <row r="150" spans="3:6" x14ac:dyDescent="0.25">
      <c r="C150" s="91" t="s">
        <v>1280</v>
      </c>
      <c r="E150" t="s">
        <v>76</v>
      </c>
      <c r="F150" s="80"/>
    </row>
    <row r="151" spans="3:6" x14ac:dyDescent="0.25">
      <c r="C151" s="91" t="s">
        <v>1284</v>
      </c>
      <c r="E151" t="s">
        <v>76</v>
      </c>
      <c r="F151" s="80"/>
    </row>
    <row r="152" spans="3:6" x14ac:dyDescent="0.25">
      <c r="C152" s="91" t="s">
        <v>1276</v>
      </c>
      <c r="E152" t="s">
        <v>76</v>
      </c>
      <c r="F152" s="80"/>
    </row>
    <row r="153" spans="3:6" x14ac:dyDescent="0.25">
      <c r="C153" s="91" t="s">
        <v>1279</v>
      </c>
      <c r="E153" t="s">
        <v>76</v>
      </c>
      <c r="F153" s="80"/>
    </row>
    <row r="154" spans="3:6" x14ac:dyDescent="0.25">
      <c r="C154" s="91" t="s">
        <v>1346</v>
      </c>
      <c r="E154" t="s">
        <v>76</v>
      </c>
      <c r="F154" s="80"/>
    </row>
    <row r="155" spans="3:6" x14ac:dyDescent="0.25">
      <c r="C155" s="91" t="s">
        <v>1308</v>
      </c>
      <c r="E155" t="s">
        <v>76</v>
      </c>
      <c r="F155" s="80"/>
    </row>
    <row r="156" spans="3:6" x14ac:dyDescent="0.25">
      <c r="C156" s="91" t="s">
        <v>1286</v>
      </c>
      <c r="E156" t="s">
        <v>76</v>
      </c>
      <c r="F156" s="80"/>
    </row>
    <row r="157" spans="3:6" x14ac:dyDescent="0.25">
      <c r="C157" s="91" t="s">
        <v>1288</v>
      </c>
      <c r="E157" t="s">
        <v>76</v>
      </c>
      <c r="F157" s="80"/>
    </row>
    <row r="158" spans="3:6" x14ac:dyDescent="0.25">
      <c r="C158" s="91" t="s">
        <v>1275</v>
      </c>
      <c r="E158" t="s">
        <v>76</v>
      </c>
      <c r="F158" s="80"/>
    </row>
    <row r="159" spans="3:6" x14ac:dyDescent="0.25">
      <c r="C159" s="91" t="s">
        <v>1296</v>
      </c>
      <c r="E159" t="s">
        <v>76</v>
      </c>
      <c r="F159" s="80"/>
    </row>
    <row r="160" spans="3:6" x14ac:dyDescent="0.25">
      <c r="C160" s="91" t="s">
        <v>1281</v>
      </c>
      <c r="E160" t="s">
        <v>76</v>
      </c>
      <c r="F160" s="80"/>
    </row>
    <row r="161" spans="3:6" x14ac:dyDescent="0.25">
      <c r="C161" s="91" t="s">
        <v>1339</v>
      </c>
      <c r="E161" t="s">
        <v>76</v>
      </c>
      <c r="F161" s="80"/>
    </row>
    <row r="162" spans="3:6" x14ac:dyDescent="0.25">
      <c r="C162" s="91" t="s">
        <v>1292</v>
      </c>
      <c r="E162" t="s">
        <v>76</v>
      </c>
      <c r="F162" s="80"/>
    </row>
    <row r="163" spans="3:6" x14ac:dyDescent="0.25">
      <c r="C163" s="91" t="s">
        <v>1297</v>
      </c>
      <c r="E163" t="s">
        <v>76</v>
      </c>
      <c r="F163" s="80"/>
    </row>
    <row r="164" spans="3:6" x14ac:dyDescent="0.25">
      <c r="C164" s="91" t="s">
        <v>1302</v>
      </c>
      <c r="E164" t="s">
        <v>76</v>
      </c>
      <c r="F164" s="80"/>
    </row>
    <row r="165" spans="3:6" x14ac:dyDescent="0.25">
      <c r="C165" s="91" t="s">
        <v>1347</v>
      </c>
      <c r="E165" t="s">
        <v>76</v>
      </c>
      <c r="F165" s="80"/>
    </row>
    <row r="166" spans="3:6" x14ac:dyDescent="0.25">
      <c r="C166" s="91" t="s">
        <v>1294</v>
      </c>
      <c r="E166" t="s">
        <v>76</v>
      </c>
      <c r="F166" s="80"/>
    </row>
    <row r="167" spans="3:6" x14ac:dyDescent="0.25">
      <c r="C167" s="91" t="s">
        <v>1300</v>
      </c>
      <c r="E167" t="s">
        <v>76</v>
      </c>
      <c r="F167" s="80"/>
    </row>
    <row r="168" spans="3:6" x14ac:dyDescent="0.25">
      <c r="C168" s="91" t="s">
        <v>1291</v>
      </c>
      <c r="E168" t="s">
        <v>76</v>
      </c>
      <c r="F168" s="80"/>
    </row>
    <row r="169" spans="3:6" x14ac:dyDescent="0.25">
      <c r="C169" s="91" t="s">
        <v>1295</v>
      </c>
      <c r="E169" t="s">
        <v>76</v>
      </c>
      <c r="F169" s="80"/>
    </row>
    <row r="170" spans="3:6" x14ac:dyDescent="0.25">
      <c r="C170" s="91" t="s">
        <v>1309</v>
      </c>
      <c r="E170" t="s">
        <v>76</v>
      </c>
      <c r="F170" s="80"/>
    </row>
    <row r="171" spans="3:6" x14ac:dyDescent="0.25">
      <c r="C171" s="91" t="s">
        <v>1298</v>
      </c>
      <c r="E171" t="s">
        <v>76</v>
      </c>
      <c r="F171" s="80"/>
    </row>
    <row r="172" spans="3:6" x14ac:dyDescent="0.25">
      <c r="C172" s="91" t="s">
        <v>1310</v>
      </c>
      <c r="E172" t="s">
        <v>76</v>
      </c>
      <c r="F172" s="80"/>
    </row>
    <row r="173" spans="3:6" x14ac:dyDescent="0.25">
      <c r="C173" s="91" t="s">
        <v>1290</v>
      </c>
      <c r="E173" t="s">
        <v>76</v>
      </c>
      <c r="F173" s="80"/>
    </row>
    <row r="174" spans="3:6" x14ac:dyDescent="0.25">
      <c r="C174" s="91" t="s">
        <v>1311</v>
      </c>
      <c r="E174" t="s">
        <v>76</v>
      </c>
      <c r="F174" s="80"/>
    </row>
    <row r="175" spans="3:6" x14ac:dyDescent="0.25">
      <c r="C175" s="91" t="s">
        <v>1304</v>
      </c>
      <c r="E175" t="s">
        <v>76</v>
      </c>
      <c r="F175" s="80"/>
    </row>
    <row r="176" spans="3:6" x14ac:dyDescent="0.25">
      <c r="C176" s="91" t="s">
        <v>1306</v>
      </c>
      <c r="E176" t="s">
        <v>76</v>
      </c>
      <c r="F176" s="80"/>
    </row>
    <row r="177" spans="3:6" x14ac:dyDescent="0.25">
      <c r="C177" s="91" t="s">
        <v>1293</v>
      </c>
      <c r="E177" t="s">
        <v>76</v>
      </c>
      <c r="F177" s="80"/>
    </row>
    <row r="178" spans="3:6" x14ac:dyDescent="0.25">
      <c r="C178" s="91" t="s">
        <v>1312</v>
      </c>
      <c r="E178" t="s">
        <v>76</v>
      </c>
      <c r="F178" s="80"/>
    </row>
    <row r="179" spans="3:6" x14ac:dyDescent="0.25">
      <c r="C179" s="91" t="s">
        <v>1303</v>
      </c>
      <c r="E179" t="s">
        <v>76</v>
      </c>
      <c r="F179" s="80"/>
    </row>
    <row r="180" spans="3:6" x14ac:dyDescent="0.25">
      <c r="C180" s="91" t="s">
        <v>1305</v>
      </c>
      <c r="E180" t="s">
        <v>76</v>
      </c>
      <c r="F180" s="80"/>
    </row>
    <row r="181" spans="3:6" x14ac:dyDescent="0.25">
      <c r="C181" s="91" t="s">
        <v>1301</v>
      </c>
      <c r="E181" t="s">
        <v>76</v>
      </c>
      <c r="F181" s="80"/>
    </row>
    <row r="182" spans="3:6" x14ac:dyDescent="0.25">
      <c r="C182" s="91" t="s">
        <v>1348</v>
      </c>
      <c r="E182" t="s">
        <v>76</v>
      </c>
      <c r="F182" s="80"/>
    </row>
    <row r="183" spans="3:6" x14ac:dyDescent="0.25">
      <c r="C183" s="91" t="s">
        <v>1349</v>
      </c>
      <c r="E183" t="s">
        <v>76</v>
      </c>
      <c r="F183" s="80"/>
    </row>
    <row r="184" spans="3:6" x14ac:dyDescent="0.25">
      <c r="C184" s="91" t="s">
        <v>1350</v>
      </c>
      <c r="E184" t="s">
        <v>76</v>
      </c>
      <c r="F184" s="80"/>
    </row>
    <row r="185" spans="3:6" x14ac:dyDescent="0.25">
      <c r="C185" s="91" t="s">
        <v>1313</v>
      </c>
      <c r="E185" t="s">
        <v>76</v>
      </c>
      <c r="F185" s="80"/>
    </row>
    <row r="186" spans="3:6" x14ac:dyDescent="0.25">
      <c r="C186" s="91" t="s">
        <v>1317</v>
      </c>
      <c r="E186" t="s">
        <v>75</v>
      </c>
      <c r="F186" s="80"/>
    </row>
    <row r="187" spans="3:6" x14ac:dyDescent="0.25">
      <c r="C187" s="91" t="s">
        <v>1297</v>
      </c>
      <c r="E187" t="s">
        <v>116</v>
      </c>
      <c r="F187" s="80"/>
    </row>
    <row r="188" spans="3:6" x14ac:dyDescent="0.25">
      <c r="C188" s="91" t="s">
        <v>1283</v>
      </c>
      <c r="E188" t="s">
        <v>130</v>
      </c>
      <c r="F188" s="80"/>
    </row>
    <row r="189" spans="3:6" x14ac:dyDescent="0.25">
      <c r="C189" s="91" t="s">
        <v>1299</v>
      </c>
      <c r="E189" t="s">
        <v>131</v>
      </c>
      <c r="F189" s="80"/>
    </row>
    <row r="190" spans="3:6" x14ac:dyDescent="0.25">
      <c r="C190" s="91" t="s">
        <v>1317</v>
      </c>
      <c r="E190" t="s">
        <v>79</v>
      </c>
      <c r="F190" s="80"/>
    </row>
    <row r="191" spans="3:6" x14ac:dyDescent="0.25">
      <c r="C191" s="91" t="s">
        <v>1301</v>
      </c>
      <c r="E191" t="s">
        <v>121</v>
      </c>
      <c r="F191" s="80"/>
    </row>
    <row r="192" spans="3:6" x14ac:dyDescent="0.25">
      <c r="C192" s="91" t="s">
        <v>1317</v>
      </c>
      <c r="E192" t="s">
        <v>81</v>
      </c>
      <c r="F192" s="80"/>
    </row>
    <row r="193" spans="3:6" x14ac:dyDescent="0.25">
      <c r="C193" s="91" t="s">
        <v>1297</v>
      </c>
      <c r="E193" t="s">
        <v>123</v>
      </c>
      <c r="F193" s="80"/>
    </row>
    <row r="194" spans="3:6" x14ac:dyDescent="0.25">
      <c r="C194" s="91" t="s">
        <v>1287</v>
      </c>
      <c r="E194" t="s">
        <v>86</v>
      </c>
      <c r="F194" s="80"/>
    </row>
    <row r="195" spans="3:6" x14ac:dyDescent="0.25">
      <c r="C195" s="91" t="s">
        <v>1270</v>
      </c>
      <c r="E195" t="s">
        <v>87</v>
      </c>
      <c r="F195" s="80"/>
    </row>
    <row r="196" spans="3:6" x14ac:dyDescent="0.25">
      <c r="C196" s="91" t="s">
        <v>1298</v>
      </c>
      <c r="E196" t="s">
        <v>89</v>
      </c>
      <c r="F196" s="80"/>
    </row>
    <row r="197" spans="3:6" x14ac:dyDescent="0.25">
      <c r="C197" s="91" t="s">
        <v>1268</v>
      </c>
      <c r="E197" t="s">
        <v>88</v>
      </c>
      <c r="F197" s="80"/>
    </row>
    <row r="198" spans="3:6" x14ac:dyDescent="0.25">
      <c r="C198" s="91" t="s">
        <v>1345</v>
      </c>
      <c r="E198" t="s">
        <v>132</v>
      </c>
      <c r="F198" s="80"/>
    </row>
    <row r="199" spans="3:6" x14ac:dyDescent="0.25">
      <c r="C199" s="91" t="s">
        <v>1278</v>
      </c>
      <c r="E199" t="s">
        <v>90</v>
      </c>
      <c r="F199" s="80"/>
    </row>
    <row r="200" spans="3:6" x14ac:dyDescent="0.25">
      <c r="C200" s="91" t="s">
        <v>1317</v>
      </c>
      <c r="E200" t="s">
        <v>133</v>
      </c>
      <c r="F200" s="80"/>
    </row>
    <row r="201" spans="3:6" x14ac:dyDescent="0.25">
      <c r="C201" s="91" t="s">
        <v>1294</v>
      </c>
      <c r="E201" t="s">
        <v>93</v>
      </c>
      <c r="F201" s="80"/>
    </row>
    <row r="202" spans="3:6" x14ac:dyDescent="0.25">
      <c r="C202" s="91" t="s">
        <v>1317</v>
      </c>
      <c r="E202" t="s">
        <v>96</v>
      </c>
      <c r="F202" s="80"/>
    </row>
    <row r="203" spans="3:6" x14ac:dyDescent="0.25">
      <c r="C203" s="91" t="s">
        <v>1290</v>
      </c>
      <c r="E203" t="s">
        <v>97</v>
      </c>
      <c r="F203" s="80"/>
    </row>
    <row r="204" spans="3:6" x14ac:dyDescent="0.25">
      <c r="C204" s="91" t="s">
        <v>1317</v>
      </c>
      <c r="E204" t="s">
        <v>98</v>
      </c>
      <c r="F204" s="80"/>
    </row>
    <row r="205" spans="3:6" x14ac:dyDescent="0.25">
      <c r="C205" s="91" t="s">
        <v>1317</v>
      </c>
      <c r="E205" t="s">
        <v>101</v>
      </c>
      <c r="F205" s="80"/>
    </row>
    <row r="206" spans="3:6" x14ac:dyDescent="0.25">
      <c r="C206" s="91" t="s">
        <v>1321</v>
      </c>
      <c r="F206" s="80"/>
    </row>
    <row r="207" spans="3:6" x14ac:dyDescent="0.25">
      <c r="C207" s="91" t="s">
        <v>1323</v>
      </c>
      <c r="F207" s="80"/>
    </row>
    <row r="208" spans="3:6" x14ac:dyDescent="0.25">
      <c r="C208" s="91" t="s">
        <v>1322</v>
      </c>
      <c r="F208" s="80"/>
    </row>
    <row r="209" spans="3:6" x14ac:dyDescent="0.25">
      <c r="C209" s="91" t="s">
        <v>1322</v>
      </c>
      <c r="F209" s="80"/>
    </row>
  </sheetData>
  <mergeCells count="2">
    <mergeCell ref="A2:Z2"/>
    <mergeCell ref="B4:C4"/>
  </mergeCells>
  <conditionalFormatting sqref="Q12:R49">
    <cfRule type="expression" dxfId="68" priority="35">
      <formula>Q12=""</formula>
    </cfRule>
    <cfRule type="cellIs" dxfId="67" priority="38" operator="lessThan">
      <formula>0</formula>
    </cfRule>
    <cfRule type="cellIs" dxfId="66" priority="39" operator="greaterThan">
      <formula>0</formula>
    </cfRule>
  </conditionalFormatting>
  <conditionalFormatting sqref="Q12:R49">
    <cfRule type="cellIs" dxfId="65" priority="36" operator="lessThan">
      <formula>0</formula>
    </cfRule>
    <cfRule type="cellIs" dxfId="64" priority="37" operator="greaterThan">
      <formula>0</formula>
    </cfRule>
  </conditionalFormatting>
  <conditionalFormatting sqref="Q8">
    <cfRule type="expression" dxfId="63" priority="32">
      <formula>Q8=""</formula>
    </cfRule>
    <cfRule type="cellIs" dxfId="62" priority="33" operator="lessThan">
      <formula>0</formula>
    </cfRule>
    <cfRule type="cellIs" dxfId="61" priority="34" operator="greaterThan">
      <formula>0</formula>
    </cfRule>
  </conditionalFormatting>
  <conditionalFormatting sqref="R8">
    <cfRule type="expression" dxfId="60" priority="29">
      <formula>R8=""</formula>
    </cfRule>
    <cfRule type="cellIs" dxfId="59" priority="30" operator="lessThan">
      <formula>0</formula>
    </cfRule>
    <cfRule type="cellIs" dxfId="58" priority="31" operator="greaterThan">
      <formula>0</formula>
    </cfRule>
  </conditionalFormatting>
  <conditionalFormatting sqref="S15:V49 E12:N49 V12:V14 A12:A49 S12:T14">
    <cfRule type="expression" dxfId="57" priority="28">
      <formula>A12=""</formula>
    </cfRule>
  </conditionalFormatting>
  <conditionalFormatting sqref="U12">
    <cfRule type="expression" dxfId="56" priority="27">
      <formula>U12=""</formula>
    </cfRule>
  </conditionalFormatting>
  <conditionalFormatting sqref="U13:U14">
    <cfRule type="expression" dxfId="55" priority="26">
      <formula>U13=""</formula>
    </cfRule>
  </conditionalFormatting>
  <conditionalFormatting sqref="E11">
    <cfRule type="expression" dxfId="54" priority="20">
      <formula>E11=""</formula>
    </cfRule>
  </conditionalFormatting>
  <conditionalFormatting sqref="F11:N11">
    <cfRule type="expression" dxfId="53" priority="19">
      <formula>F11=""</formula>
    </cfRule>
  </conditionalFormatting>
  <conditionalFormatting sqref="V11">
    <cfRule type="expression" dxfId="52" priority="17">
      <formula>V11=""</formula>
    </cfRule>
  </conditionalFormatting>
  <conditionalFormatting sqref="A11">
    <cfRule type="expression" dxfId="51" priority="16">
      <formula>A11=""</formula>
    </cfRule>
  </conditionalFormatting>
  <conditionalFormatting sqref="T11">
    <cfRule type="expression" dxfId="50" priority="15">
      <formula>T11=""</formula>
    </cfRule>
  </conditionalFormatting>
  <conditionalFormatting sqref="Q11:R11">
    <cfRule type="expression" dxfId="49" priority="21">
      <formula>Q11=""</formula>
    </cfRule>
    <cfRule type="cellIs" dxfId="48" priority="24" operator="lessThan">
      <formula>0</formula>
    </cfRule>
    <cfRule type="cellIs" dxfId="47" priority="25" operator="greaterThan">
      <formula>0</formula>
    </cfRule>
  </conditionalFormatting>
  <conditionalFormatting sqref="Q11:R11">
    <cfRule type="cellIs" dxfId="46" priority="22" operator="lessThan">
      <formula>0</formula>
    </cfRule>
    <cfRule type="cellIs" dxfId="45" priority="23" operator="greaterThan">
      <formula>0</formula>
    </cfRule>
  </conditionalFormatting>
  <conditionalFormatting sqref="U11">
    <cfRule type="expression" dxfId="44" priority="18">
      <formula>U11=""</formula>
    </cfRule>
  </conditionalFormatting>
  <conditionalFormatting sqref="A10">
    <cfRule type="expression" dxfId="43" priority="4">
      <formula>A10=""</formula>
    </cfRule>
  </conditionalFormatting>
  <conditionalFormatting sqref="T10">
    <cfRule type="expression" dxfId="42" priority="3">
      <formula>T10=""</formula>
    </cfRule>
  </conditionalFormatting>
  <conditionalFormatting sqref="S11">
    <cfRule type="expression" dxfId="41" priority="14">
      <formula>S11=""</formula>
    </cfRule>
  </conditionalFormatting>
  <conditionalFormatting sqref="Q10:R10">
    <cfRule type="expression" dxfId="40" priority="9">
      <formula>Q10=""</formula>
    </cfRule>
    <cfRule type="cellIs" dxfId="39" priority="12" operator="lessThan">
      <formula>0</formula>
    </cfRule>
    <cfRule type="cellIs" dxfId="38" priority="13" operator="greaterThan">
      <formula>0</formula>
    </cfRule>
  </conditionalFormatting>
  <conditionalFormatting sqref="Q10:R10">
    <cfRule type="cellIs" dxfId="37" priority="10" operator="lessThan">
      <formula>0</formula>
    </cfRule>
    <cfRule type="cellIs" dxfId="36" priority="11" operator="greaterThan">
      <formula>0</formula>
    </cfRule>
  </conditionalFormatting>
  <conditionalFormatting sqref="E10">
    <cfRule type="expression" dxfId="35" priority="8">
      <formula>E10=""</formula>
    </cfRule>
  </conditionalFormatting>
  <conditionalFormatting sqref="F10:N10 F10:F57">
    <cfRule type="expression" dxfId="34" priority="7">
      <formula>F10=""</formula>
    </cfRule>
  </conditionalFormatting>
  <conditionalFormatting sqref="U10">
    <cfRule type="expression" dxfId="33" priority="6">
      <formula>U10=""</formula>
    </cfRule>
  </conditionalFormatting>
  <conditionalFormatting sqref="V10">
    <cfRule type="expression" dxfId="32" priority="5">
      <formula>V10=""</formula>
    </cfRule>
  </conditionalFormatting>
  <conditionalFormatting sqref="S10">
    <cfRule type="expression" dxfId="31" priority="2">
      <formula>S10=""</formula>
    </cfRule>
  </conditionalFormatting>
  <conditionalFormatting sqref="Z8">
    <cfRule type="expression" dxfId="30" priority="40" stopIfTrue="1">
      <formula>Z8=FALSE</formula>
    </cfRule>
  </conditionalFormatting>
  <conditionalFormatting sqref="Z8">
    <cfRule type="expression" dxfId="29" priority="41" stopIfTrue="1">
      <formula>Z8=TRUE</formula>
    </cfRule>
  </conditionalFormatting>
  <conditionalFormatting sqref="F58:F209">
    <cfRule type="expression" dxfId="28" priority="1">
      <formula>F58=""</formula>
    </cfRule>
  </conditionalFormatting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C2460-F444-4FA4-9CD6-EDAF3AC98DD0}">
  <sheetPr codeName="Sheet5"/>
  <dimension ref="A1:P201"/>
  <sheetViews>
    <sheetView workbookViewId="0">
      <selection activeCell="D1" sqref="D1:D201"/>
    </sheetView>
  </sheetViews>
  <sheetFormatPr defaultRowHeight="15.75" x14ac:dyDescent="0.25"/>
  <cols>
    <col min="1" max="1" width="13.625" bestFit="1" customWidth="1"/>
    <col min="2" max="2" width="11.5" bestFit="1" customWidth="1"/>
    <col min="3" max="3" width="14.375" bestFit="1" customWidth="1"/>
    <col min="4" max="4" width="28.5" bestFit="1" customWidth="1"/>
    <col min="5" max="5" width="44.375" bestFit="1" customWidth="1"/>
    <col min="6" max="6" width="9.875" bestFit="1" customWidth="1"/>
    <col min="7" max="7" width="20.625" bestFit="1" customWidth="1"/>
    <col min="8" max="8" width="13.5" bestFit="1" customWidth="1"/>
    <col min="9" max="9" width="11.875" bestFit="1" customWidth="1"/>
    <col min="10" max="10" width="15.75" bestFit="1" customWidth="1"/>
    <col min="11" max="11" width="22.75" bestFit="1" customWidth="1"/>
    <col min="12" max="12" width="17.875" bestFit="1" customWidth="1"/>
    <col min="13" max="13" width="15.5" bestFit="1" customWidth="1"/>
    <col min="14" max="14" width="8.25" bestFit="1" customWidth="1"/>
    <col min="15" max="15" width="11.125" bestFit="1" customWidth="1"/>
    <col min="16" max="16" width="21.625" bestFit="1" customWidth="1"/>
  </cols>
  <sheetData>
    <row r="1" spans="1:16" x14ac:dyDescent="0.25">
      <c r="A1" t="s">
        <v>15</v>
      </c>
      <c r="B1" t="s">
        <v>16</v>
      </c>
      <c r="C1" t="s">
        <v>17</v>
      </c>
      <c r="D1" t="s">
        <v>135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</row>
    <row r="2" spans="1:16" x14ac:dyDescent="0.25">
      <c r="A2" s="3" t="s">
        <v>30</v>
      </c>
      <c r="B2" s="3" t="s">
        <v>31</v>
      </c>
      <c r="C2">
        <v>1</v>
      </c>
      <c r="D2" s="3" t="s">
        <v>136</v>
      </c>
      <c r="E2" s="3" t="s">
        <v>137</v>
      </c>
      <c r="F2">
        <v>3119</v>
      </c>
      <c r="G2">
        <v>1126271.2341</v>
      </c>
      <c r="H2">
        <v>231.72569999999999</v>
      </c>
      <c r="I2">
        <v>285.59008799999998</v>
      </c>
      <c r="J2">
        <v>2.6</v>
      </c>
      <c r="K2">
        <v>1126271</v>
      </c>
      <c r="L2">
        <v>2.6</v>
      </c>
      <c r="M2">
        <v>3.1</v>
      </c>
      <c r="N2" s="3" t="s">
        <v>34</v>
      </c>
      <c r="O2">
        <v>0</v>
      </c>
      <c r="P2" s="3" t="s">
        <v>35</v>
      </c>
    </row>
    <row r="3" spans="1:16" x14ac:dyDescent="0.25">
      <c r="A3" s="3" t="s">
        <v>30</v>
      </c>
      <c r="B3" s="3" t="s">
        <v>31</v>
      </c>
      <c r="C3">
        <v>2</v>
      </c>
      <c r="D3" s="3" t="s">
        <v>138</v>
      </c>
      <c r="E3" s="3" t="s">
        <v>139</v>
      </c>
      <c r="F3">
        <v>260</v>
      </c>
      <c r="G3">
        <v>1126119.1532999999</v>
      </c>
      <c r="H3">
        <v>3207.4774000000002</v>
      </c>
      <c r="I3">
        <v>3425.6298830000001</v>
      </c>
      <c r="J3">
        <v>2.6</v>
      </c>
      <c r="K3">
        <v>1126119</v>
      </c>
      <c r="L3">
        <v>2.6</v>
      </c>
      <c r="M3">
        <v>2.5</v>
      </c>
      <c r="N3" s="3" t="s">
        <v>34</v>
      </c>
      <c r="O3">
        <v>0</v>
      </c>
      <c r="P3" s="3" t="s">
        <v>35</v>
      </c>
    </row>
    <row r="4" spans="1:16" x14ac:dyDescent="0.25">
      <c r="A4" s="3" t="s">
        <v>30</v>
      </c>
      <c r="B4" s="3" t="s">
        <v>31</v>
      </c>
      <c r="C4">
        <v>3</v>
      </c>
      <c r="D4" s="3" t="s">
        <v>140</v>
      </c>
      <c r="E4" s="3" t="s">
        <v>141</v>
      </c>
      <c r="F4">
        <v>2122</v>
      </c>
      <c r="G4">
        <v>947011.62329999998</v>
      </c>
      <c r="H4">
        <v>261.82499999999999</v>
      </c>
      <c r="I4">
        <v>352.93994099999998</v>
      </c>
      <c r="J4">
        <v>2.2000000000000002</v>
      </c>
      <c r="K4">
        <v>947012</v>
      </c>
      <c r="L4">
        <v>2.2000000000000002</v>
      </c>
      <c r="M4">
        <v>0</v>
      </c>
      <c r="N4" s="3" t="s">
        <v>34</v>
      </c>
      <c r="O4">
        <v>0</v>
      </c>
      <c r="P4" s="3" t="s">
        <v>35</v>
      </c>
    </row>
    <row r="5" spans="1:16" x14ac:dyDescent="0.25">
      <c r="A5" s="3" t="s">
        <v>30</v>
      </c>
      <c r="B5" s="3" t="s">
        <v>31</v>
      </c>
      <c r="C5">
        <v>4</v>
      </c>
      <c r="D5" s="3" t="s">
        <v>142</v>
      </c>
      <c r="E5" s="3" t="s">
        <v>143</v>
      </c>
      <c r="F5">
        <v>10845</v>
      </c>
      <c r="G5">
        <v>913895.89190000005</v>
      </c>
      <c r="H5">
        <v>55.921100000000003</v>
      </c>
      <c r="I5">
        <v>56.860000999999997</v>
      </c>
      <c r="J5">
        <v>2.1</v>
      </c>
      <c r="K5">
        <v>913896</v>
      </c>
      <c r="L5">
        <v>2.1</v>
      </c>
      <c r="M5">
        <v>0</v>
      </c>
      <c r="N5" s="3" t="s">
        <v>34</v>
      </c>
      <c r="O5">
        <v>0</v>
      </c>
      <c r="P5" s="3" t="s">
        <v>35</v>
      </c>
    </row>
    <row r="6" spans="1:16" x14ac:dyDescent="0.25">
      <c r="A6" s="3" t="s">
        <v>30</v>
      </c>
      <c r="B6" s="3" t="s">
        <v>31</v>
      </c>
      <c r="C6">
        <v>5</v>
      </c>
      <c r="D6" s="3" t="s">
        <v>144</v>
      </c>
      <c r="E6" s="3" t="s">
        <v>145</v>
      </c>
      <c r="F6">
        <v>15355</v>
      </c>
      <c r="G6">
        <v>905120.77159999998</v>
      </c>
      <c r="H6">
        <v>51.741100000000003</v>
      </c>
      <c r="I6">
        <v>46.619995000000003</v>
      </c>
      <c r="J6">
        <v>2.1</v>
      </c>
      <c r="K6">
        <v>905121</v>
      </c>
      <c r="L6">
        <v>2.1</v>
      </c>
      <c r="M6">
        <v>0</v>
      </c>
      <c r="N6" s="3" t="s">
        <v>34</v>
      </c>
      <c r="O6">
        <v>0</v>
      </c>
      <c r="P6" s="3" t="s">
        <v>35</v>
      </c>
    </row>
    <row r="7" spans="1:16" x14ac:dyDescent="0.25">
      <c r="A7" s="3" t="s">
        <v>30</v>
      </c>
      <c r="B7" s="3" t="s">
        <v>31</v>
      </c>
      <c r="C7">
        <v>6</v>
      </c>
      <c r="D7" s="3" t="s">
        <v>146</v>
      </c>
      <c r="E7" s="3" t="s">
        <v>147</v>
      </c>
      <c r="F7">
        <v>4198</v>
      </c>
      <c r="G7">
        <v>895911.75540000002</v>
      </c>
      <c r="H7">
        <v>134.76400000000001</v>
      </c>
      <c r="I7">
        <v>144</v>
      </c>
      <c r="J7">
        <v>2.1</v>
      </c>
      <c r="K7">
        <v>895912</v>
      </c>
      <c r="L7">
        <v>2.1</v>
      </c>
      <c r="M7">
        <v>2.1</v>
      </c>
      <c r="N7" s="3" t="s">
        <v>34</v>
      </c>
      <c r="O7">
        <v>0</v>
      </c>
      <c r="P7" s="3" t="s">
        <v>35</v>
      </c>
    </row>
    <row r="8" spans="1:16" x14ac:dyDescent="0.25">
      <c r="A8" s="3" t="s">
        <v>30</v>
      </c>
      <c r="B8" s="3" t="s">
        <v>31</v>
      </c>
      <c r="C8">
        <v>7</v>
      </c>
      <c r="D8" s="3" t="s">
        <v>148</v>
      </c>
      <c r="E8" s="3" t="s">
        <v>149</v>
      </c>
      <c r="F8">
        <v>2974</v>
      </c>
      <c r="G8">
        <v>872702.98849999998</v>
      </c>
      <c r="H8">
        <v>195.99279999999999</v>
      </c>
      <c r="I8">
        <v>198</v>
      </c>
      <c r="J8">
        <v>2</v>
      </c>
      <c r="K8">
        <v>872703</v>
      </c>
      <c r="L8">
        <v>2</v>
      </c>
      <c r="M8">
        <v>0.6</v>
      </c>
      <c r="N8" s="3" t="s">
        <v>34</v>
      </c>
      <c r="O8">
        <v>0</v>
      </c>
      <c r="P8" s="3" t="s">
        <v>35</v>
      </c>
    </row>
    <row r="9" spans="1:16" x14ac:dyDescent="0.25">
      <c r="A9" s="3" t="s">
        <v>30</v>
      </c>
      <c r="B9" s="3" t="s">
        <v>31</v>
      </c>
      <c r="C9">
        <v>8</v>
      </c>
      <c r="D9" s="3" t="s">
        <v>150</v>
      </c>
      <c r="E9" s="3" t="s">
        <v>151</v>
      </c>
      <c r="F9">
        <v>4023</v>
      </c>
      <c r="G9">
        <v>840975.68870000006</v>
      </c>
      <c r="H9">
        <v>133.9111</v>
      </c>
      <c r="I9">
        <v>141.050003</v>
      </c>
      <c r="J9">
        <v>2</v>
      </c>
      <c r="K9">
        <v>840976</v>
      </c>
      <c r="L9">
        <v>2</v>
      </c>
      <c r="M9">
        <v>0</v>
      </c>
      <c r="N9" s="3" t="s">
        <v>34</v>
      </c>
      <c r="O9">
        <v>0</v>
      </c>
      <c r="P9" s="3" t="s">
        <v>35</v>
      </c>
    </row>
    <row r="10" spans="1:16" x14ac:dyDescent="0.25">
      <c r="A10" s="3" t="s">
        <v>30</v>
      </c>
      <c r="B10" s="3" t="s">
        <v>31</v>
      </c>
      <c r="C10">
        <v>9</v>
      </c>
      <c r="D10" s="3" t="s">
        <v>152</v>
      </c>
      <c r="E10" s="3" t="s">
        <v>153</v>
      </c>
      <c r="F10">
        <v>353</v>
      </c>
      <c r="G10">
        <v>834473.52969999996</v>
      </c>
      <c r="H10">
        <v>1435.5700999999999</v>
      </c>
      <c r="I10">
        <v>1869.1899410000001</v>
      </c>
      <c r="J10">
        <v>1.9</v>
      </c>
      <c r="K10">
        <v>834474</v>
      </c>
      <c r="L10">
        <v>1.9</v>
      </c>
      <c r="M10">
        <v>0</v>
      </c>
      <c r="N10" s="3" t="s">
        <v>34</v>
      </c>
      <c r="O10">
        <v>0</v>
      </c>
      <c r="P10" s="3" t="s">
        <v>35</v>
      </c>
    </row>
    <row r="11" spans="1:16" x14ac:dyDescent="0.25">
      <c r="A11" s="3" t="s">
        <v>30</v>
      </c>
      <c r="B11" s="3" t="s">
        <v>31</v>
      </c>
      <c r="C11">
        <v>10</v>
      </c>
      <c r="D11" s="3" t="s">
        <v>154</v>
      </c>
      <c r="E11" s="3" t="s">
        <v>155</v>
      </c>
      <c r="F11">
        <v>310900</v>
      </c>
      <c r="G11">
        <v>822453.95880000002</v>
      </c>
      <c r="H11">
        <v>31.685199999999998</v>
      </c>
      <c r="I11">
        <v>41.960006999999997</v>
      </c>
      <c r="J11">
        <v>1.9</v>
      </c>
      <c r="K11">
        <v>822454</v>
      </c>
      <c r="L11">
        <v>1.9</v>
      </c>
      <c r="M11">
        <v>0</v>
      </c>
      <c r="N11" s="3" t="s">
        <v>34</v>
      </c>
      <c r="O11">
        <v>0</v>
      </c>
      <c r="P11" s="3" t="s">
        <v>35</v>
      </c>
    </row>
    <row r="12" spans="1:16" x14ac:dyDescent="0.25">
      <c r="A12" s="3" t="s">
        <v>30</v>
      </c>
      <c r="B12" s="3" t="s">
        <v>31</v>
      </c>
      <c r="C12">
        <v>11</v>
      </c>
      <c r="D12" s="3" t="s">
        <v>156</v>
      </c>
      <c r="E12" s="3" t="s">
        <v>157</v>
      </c>
      <c r="F12">
        <v>2299</v>
      </c>
      <c r="G12">
        <v>780287.05</v>
      </c>
      <c r="H12">
        <v>225.62119999999999</v>
      </c>
      <c r="I12">
        <v>268.31005900000002</v>
      </c>
      <c r="J12">
        <v>1.8</v>
      </c>
      <c r="K12">
        <v>780287</v>
      </c>
      <c r="L12">
        <v>1.8</v>
      </c>
      <c r="M12">
        <v>0</v>
      </c>
      <c r="N12" s="3" t="s">
        <v>34</v>
      </c>
      <c r="O12">
        <v>0</v>
      </c>
      <c r="P12" s="3" t="s">
        <v>35</v>
      </c>
    </row>
    <row r="13" spans="1:16" x14ac:dyDescent="0.25">
      <c r="A13" s="3" t="s">
        <v>30</v>
      </c>
      <c r="B13" s="3" t="s">
        <v>31</v>
      </c>
      <c r="C13">
        <v>12</v>
      </c>
      <c r="D13" s="3" t="s">
        <v>158</v>
      </c>
      <c r="E13" s="3" t="s">
        <v>159</v>
      </c>
      <c r="F13">
        <v>4453</v>
      </c>
      <c r="G13">
        <v>708526.14289999998</v>
      </c>
      <c r="H13">
        <v>88.742900000000006</v>
      </c>
      <c r="I13">
        <v>125.710007</v>
      </c>
      <c r="J13">
        <v>1.6</v>
      </c>
      <c r="K13">
        <v>708526</v>
      </c>
      <c r="L13">
        <v>1.6</v>
      </c>
      <c r="M13">
        <v>1.5</v>
      </c>
      <c r="N13" s="3" t="s">
        <v>34</v>
      </c>
      <c r="O13">
        <v>0</v>
      </c>
      <c r="P13" s="3" t="s">
        <v>35</v>
      </c>
    </row>
    <row r="14" spans="1:16" x14ac:dyDescent="0.25">
      <c r="A14" s="3" t="s">
        <v>30</v>
      </c>
      <c r="B14" s="3" t="s">
        <v>31</v>
      </c>
      <c r="C14">
        <v>13</v>
      </c>
      <c r="D14" s="3" t="s">
        <v>160</v>
      </c>
      <c r="E14" s="3" t="s">
        <v>161</v>
      </c>
      <c r="F14">
        <v>38753</v>
      </c>
      <c r="G14">
        <v>705589.80339999998</v>
      </c>
      <c r="H14">
        <v>14.6532</v>
      </c>
      <c r="I14">
        <v>14.4</v>
      </c>
      <c r="J14">
        <v>1.6</v>
      </c>
      <c r="K14">
        <v>705590</v>
      </c>
      <c r="L14">
        <v>1.6</v>
      </c>
      <c r="M14">
        <v>0</v>
      </c>
      <c r="N14" s="3" t="s">
        <v>34</v>
      </c>
      <c r="O14">
        <v>0</v>
      </c>
      <c r="P14" s="3" t="s">
        <v>35</v>
      </c>
    </row>
    <row r="15" spans="1:16" x14ac:dyDescent="0.25">
      <c r="A15" s="3" t="s">
        <v>30</v>
      </c>
      <c r="B15" s="3" t="s">
        <v>31</v>
      </c>
      <c r="C15">
        <v>14</v>
      </c>
      <c r="D15" s="3" t="s">
        <v>162</v>
      </c>
      <c r="E15" s="3" t="s">
        <v>163</v>
      </c>
      <c r="F15">
        <v>3679</v>
      </c>
      <c r="G15">
        <v>683431.81050000002</v>
      </c>
      <c r="H15">
        <v>123.2955</v>
      </c>
      <c r="I15">
        <v>146.91000399999999</v>
      </c>
      <c r="J15">
        <v>1.6</v>
      </c>
      <c r="K15">
        <v>683432</v>
      </c>
      <c r="L15">
        <v>1.6</v>
      </c>
      <c r="M15">
        <v>0.6</v>
      </c>
      <c r="N15" s="3" t="s">
        <v>34</v>
      </c>
      <c r="O15">
        <v>0</v>
      </c>
      <c r="P15" s="3" t="s">
        <v>35</v>
      </c>
    </row>
    <row r="16" spans="1:16" x14ac:dyDescent="0.25">
      <c r="A16" s="3" t="s">
        <v>30</v>
      </c>
      <c r="B16" s="3" t="s">
        <v>31</v>
      </c>
      <c r="C16">
        <v>15</v>
      </c>
      <c r="D16" s="3" t="s">
        <v>164</v>
      </c>
      <c r="E16" s="3" t="s">
        <v>165</v>
      </c>
      <c r="F16">
        <v>2020</v>
      </c>
      <c r="G16">
        <v>682197.15419999999</v>
      </c>
      <c r="H16">
        <v>251.69669999999999</v>
      </c>
      <c r="I16">
        <v>267.100098</v>
      </c>
      <c r="J16">
        <v>1.6</v>
      </c>
      <c r="K16">
        <v>682197</v>
      </c>
      <c r="L16">
        <v>1.6</v>
      </c>
      <c r="M16">
        <v>0</v>
      </c>
      <c r="N16" s="3" t="s">
        <v>34</v>
      </c>
      <c r="O16">
        <v>0</v>
      </c>
      <c r="P16" s="3" t="s">
        <v>35</v>
      </c>
    </row>
    <row r="17" spans="1:16" x14ac:dyDescent="0.25">
      <c r="A17" s="3" t="s">
        <v>30</v>
      </c>
      <c r="B17" s="3" t="s">
        <v>31</v>
      </c>
      <c r="C17">
        <v>16</v>
      </c>
      <c r="D17" s="3" t="s">
        <v>166</v>
      </c>
      <c r="E17" s="3" t="s">
        <v>167</v>
      </c>
      <c r="F17">
        <v>6439</v>
      </c>
      <c r="G17">
        <v>677289.04229999997</v>
      </c>
      <c r="H17">
        <v>68.456699999999998</v>
      </c>
      <c r="I17">
        <v>83.190002000000007</v>
      </c>
      <c r="J17">
        <v>1.6</v>
      </c>
      <c r="K17">
        <v>677289</v>
      </c>
      <c r="L17">
        <v>1.6</v>
      </c>
      <c r="M17">
        <v>0</v>
      </c>
      <c r="N17" s="3" t="s">
        <v>34</v>
      </c>
      <c r="O17">
        <v>0</v>
      </c>
      <c r="P17" s="3" t="s">
        <v>35</v>
      </c>
    </row>
    <row r="18" spans="1:16" x14ac:dyDescent="0.25">
      <c r="A18" s="3" t="s">
        <v>30</v>
      </c>
      <c r="B18" s="3" t="s">
        <v>31</v>
      </c>
      <c r="C18">
        <v>17</v>
      </c>
      <c r="D18" s="3" t="s">
        <v>168</v>
      </c>
      <c r="E18" s="3" t="s">
        <v>169</v>
      </c>
      <c r="F18">
        <v>1732</v>
      </c>
      <c r="G18">
        <v>655558.99230000004</v>
      </c>
      <c r="H18">
        <v>212.4795</v>
      </c>
      <c r="I18">
        <v>299.34008799999998</v>
      </c>
      <c r="J18">
        <v>1.5</v>
      </c>
      <c r="K18">
        <v>655559</v>
      </c>
      <c r="L18">
        <v>1.5</v>
      </c>
      <c r="M18">
        <v>0.8</v>
      </c>
      <c r="N18" s="3" t="s">
        <v>34</v>
      </c>
      <c r="O18">
        <v>0</v>
      </c>
      <c r="P18" s="3" t="s">
        <v>35</v>
      </c>
    </row>
    <row r="19" spans="1:16" x14ac:dyDescent="0.25">
      <c r="A19" s="3" t="s">
        <v>30</v>
      </c>
      <c r="B19" s="3" t="s">
        <v>31</v>
      </c>
      <c r="C19">
        <v>18</v>
      </c>
      <c r="D19" s="3" t="s">
        <v>170</v>
      </c>
      <c r="E19" s="3" t="s">
        <v>171</v>
      </c>
      <c r="F19">
        <v>55742</v>
      </c>
      <c r="G19">
        <v>654056.09609999997</v>
      </c>
      <c r="H19">
        <v>9.9992999999999999</v>
      </c>
      <c r="I19">
        <v>9.27</v>
      </c>
      <c r="J19">
        <v>1.5</v>
      </c>
      <c r="K19">
        <v>654056</v>
      </c>
      <c r="L19">
        <v>1.5</v>
      </c>
      <c r="M19">
        <v>0</v>
      </c>
      <c r="N19" s="3" t="s">
        <v>34</v>
      </c>
      <c r="O19">
        <v>0</v>
      </c>
      <c r="P19" s="3" t="s">
        <v>35</v>
      </c>
    </row>
    <row r="20" spans="1:16" x14ac:dyDescent="0.25">
      <c r="A20" s="3" t="s">
        <v>30</v>
      </c>
      <c r="B20" s="3" t="s">
        <v>31</v>
      </c>
      <c r="C20">
        <v>19</v>
      </c>
      <c r="D20" s="3" t="s">
        <v>172</v>
      </c>
      <c r="E20" s="3" t="s">
        <v>173</v>
      </c>
      <c r="F20">
        <v>83400</v>
      </c>
      <c r="G20">
        <v>647839.39850000001</v>
      </c>
      <c r="H20">
        <v>98.222300000000004</v>
      </c>
      <c r="I20">
        <v>123.210007</v>
      </c>
      <c r="J20">
        <v>1.5</v>
      </c>
      <c r="K20">
        <v>647839</v>
      </c>
      <c r="L20">
        <v>1.5</v>
      </c>
      <c r="M20">
        <v>1.2</v>
      </c>
      <c r="N20" s="3" t="s">
        <v>34</v>
      </c>
      <c r="O20">
        <v>0</v>
      </c>
      <c r="P20" s="3" t="s">
        <v>35</v>
      </c>
    </row>
    <row r="21" spans="1:16" x14ac:dyDescent="0.25">
      <c r="A21" s="3" t="s">
        <v>30</v>
      </c>
      <c r="B21" s="3" t="s">
        <v>31</v>
      </c>
      <c r="C21">
        <v>20</v>
      </c>
      <c r="D21" s="3" t="s">
        <v>174</v>
      </c>
      <c r="E21" s="3" t="s">
        <v>175</v>
      </c>
      <c r="F21">
        <v>8600</v>
      </c>
      <c r="G21">
        <v>642480.33499999996</v>
      </c>
      <c r="H21">
        <v>593.01160000000004</v>
      </c>
      <c r="I21">
        <v>460</v>
      </c>
      <c r="J21">
        <v>1.5</v>
      </c>
      <c r="K21">
        <v>642480</v>
      </c>
      <c r="L21">
        <v>1.5</v>
      </c>
      <c r="M21">
        <v>0.3</v>
      </c>
      <c r="N21" s="3" t="s">
        <v>34</v>
      </c>
      <c r="O21">
        <v>0</v>
      </c>
      <c r="P21" s="3" t="s">
        <v>35</v>
      </c>
    </row>
    <row r="22" spans="1:16" x14ac:dyDescent="0.25">
      <c r="A22" s="3" t="s">
        <v>30</v>
      </c>
      <c r="B22" s="3" t="s">
        <v>31</v>
      </c>
      <c r="C22">
        <v>21</v>
      </c>
      <c r="D22" s="3" t="s">
        <v>176</v>
      </c>
      <c r="E22" s="3" t="s">
        <v>177</v>
      </c>
      <c r="F22">
        <v>2132</v>
      </c>
      <c r="G22">
        <v>624243.45400000003</v>
      </c>
      <c r="H22">
        <v>204.53720000000001</v>
      </c>
      <c r="I22">
        <v>231.570007</v>
      </c>
      <c r="J22">
        <v>1.5</v>
      </c>
      <c r="K22">
        <v>624243</v>
      </c>
      <c r="L22">
        <v>1.5</v>
      </c>
      <c r="M22">
        <v>0.6</v>
      </c>
      <c r="N22" s="3" t="s">
        <v>34</v>
      </c>
      <c r="O22">
        <v>0</v>
      </c>
      <c r="P22" s="3" t="s">
        <v>35</v>
      </c>
    </row>
    <row r="23" spans="1:16" x14ac:dyDescent="0.25">
      <c r="A23" s="3" t="s">
        <v>30</v>
      </c>
      <c r="B23" s="3" t="s">
        <v>31</v>
      </c>
      <c r="C23">
        <v>22</v>
      </c>
      <c r="D23" s="3" t="s">
        <v>178</v>
      </c>
      <c r="E23" s="3" t="s">
        <v>179</v>
      </c>
      <c r="F23">
        <v>2045</v>
      </c>
      <c r="G23">
        <v>576222.81510000001</v>
      </c>
      <c r="H23">
        <v>205.2654</v>
      </c>
      <c r="I23">
        <v>222.779999</v>
      </c>
      <c r="J23">
        <v>1.3</v>
      </c>
      <c r="K23">
        <v>576223</v>
      </c>
      <c r="L23">
        <v>1.3</v>
      </c>
      <c r="M23">
        <v>0</v>
      </c>
      <c r="N23" s="3" t="s">
        <v>34</v>
      </c>
      <c r="O23">
        <v>0</v>
      </c>
      <c r="P23" s="3" t="s">
        <v>35</v>
      </c>
    </row>
    <row r="24" spans="1:16" x14ac:dyDescent="0.25">
      <c r="A24" s="3" t="s">
        <v>30</v>
      </c>
      <c r="B24" s="3" t="s">
        <v>31</v>
      </c>
      <c r="C24">
        <v>23</v>
      </c>
      <c r="D24" s="3" t="s">
        <v>180</v>
      </c>
      <c r="E24" s="3" t="s">
        <v>51</v>
      </c>
      <c r="F24">
        <v>661</v>
      </c>
      <c r="G24">
        <v>572835.78379999998</v>
      </c>
      <c r="H24">
        <v>423.31029999999998</v>
      </c>
      <c r="I24">
        <v>685.40014599999995</v>
      </c>
      <c r="J24">
        <v>1.3</v>
      </c>
      <c r="K24">
        <v>572836</v>
      </c>
      <c r="L24">
        <v>1.3</v>
      </c>
      <c r="M24">
        <v>0</v>
      </c>
      <c r="N24" s="3" t="s">
        <v>34</v>
      </c>
      <c r="O24">
        <v>0</v>
      </c>
      <c r="P24" s="3" t="s">
        <v>35</v>
      </c>
    </row>
    <row r="25" spans="1:16" x14ac:dyDescent="0.25">
      <c r="A25" s="3" t="s">
        <v>30</v>
      </c>
      <c r="B25" s="3" t="s">
        <v>31</v>
      </c>
      <c r="C25">
        <v>24</v>
      </c>
      <c r="D25" s="3" t="s">
        <v>181</v>
      </c>
      <c r="E25" s="3" t="s">
        <v>182</v>
      </c>
      <c r="F25">
        <v>1605</v>
      </c>
      <c r="G25">
        <v>572645.2304</v>
      </c>
      <c r="H25">
        <v>227.42760000000001</v>
      </c>
      <c r="I25">
        <v>282.17993200000001</v>
      </c>
      <c r="J25">
        <v>1.3</v>
      </c>
      <c r="K25">
        <v>572645</v>
      </c>
      <c r="L25">
        <v>1.3</v>
      </c>
      <c r="M25">
        <v>1.9</v>
      </c>
      <c r="N25" s="3" t="s">
        <v>34</v>
      </c>
      <c r="O25">
        <v>0</v>
      </c>
      <c r="P25" s="3" t="s">
        <v>35</v>
      </c>
    </row>
    <row r="26" spans="1:16" x14ac:dyDescent="0.25">
      <c r="A26" s="3" t="s">
        <v>30</v>
      </c>
      <c r="B26" s="3" t="s">
        <v>31</v>
      </c>
      <c r="C26">
        <v>25</v>
      </c>
      <c r="D26" s="3" t="s">
        <v>183</v>
      </c>
      <c r="E26" s="3" t="s">
        <v>184</v>
      </c>
      <c r="F26">
        <v>1499</v>
      </c>
      <c r="G26">
        <v>566951.97860000003</v>
      </c>
      <c r="H26">
        <v>193.77539999999999</v>
      </c>
      <c r="I26">
        <v>299.13012700000002</v>
      </c>
      <c r="J26">
        <v>1.3</v>
      </c>
      <c r="K26">
        <v>566952</v>
      </c>
      <c r="L26">
        <v>1.3</v>
      </c>
      <c r="M26">
        <v>0.7</v>
      </c>
      <c r="N26" s="3" t="s">
        <v>34</v>
      </c>
      <c r="O26">
        <v>0</v>
      </c>
      <c r="P26" s="3" t="s">
        <v>35</v>
      </c>
    </row>
    <row r="27" spans="1:16" x14ac:dyDescent="0.25">
      <c r="A27" s="3" t="s">
        <v>30</v>
      </c>
      <c r="B27" s="3" t="s">
        <v>31</v>
      </c>
      <c r="C27">
        <v>26</v>
      </c>
      <c r="D27" s="3" t="s">
        <v>185</v>
      </c>
      <c r="E27" s="3" t="s">
        <v>186</v>
      </c>
      <c r="F27">
        <v>47002</v>
      </c>
      <c r="G27">
        <v>550588.30759999994</v>
      </c>
      <c r="H27">
        <v>65.493799999999993</v>
      </c>
      <c r="I27">
        <v>80.160004000000001</v>
      </c>
      <c r="J27">
        <v>1.3</v>
      </c>
      <c r="K27">
        <v>550588</v>
      </c>
      <c r="L27">
        <v>1.3</v>
      </c>
      <c r="M27">
        <v>1.9</v>
      </c>
      <c r="N27" s="3" t="s">
        <v>34</v>
      </c>
      <c r="O27">
        <v>0</v>
      </c>
      <c r="P27" s="3" t="s">
        <v>35</v>
      </c>
    </row>
    <row r="28" spans="1:16" x14ac:dyDescent="0.25">
      <c r="A28" s="3" t="s">
        <v>30</v>
      </c>
      <c r="B28" s="3" t="s">
        <v>31</v>
      </c>
      <c r="C28">
        <v>27</v>
      </c>
      <c r="D28" s="3" t="s">
        <v>187</v>
      </c>
      <c r="E28" s="3" t="s">
        <v>188</v>
      </c>
      <c r="F28">
        <v>4108</v>
      </c>
      <c r="G28">
        <v>549888.49650000001</v>
      </c>
      <c r="H28">
        <v>88.351399999999998</v>
      </c>
      <c r="I28">
        <v>90.319991999999999</v>
      </c>
      <c r="J28">
        <v>1.3</v>
      </c>
      <c r="K28">
        <v>549888</v>
      </c>
      <c r="L28">
        <v>1.3</v>
      </c>
      <c r="M28">
        <v>1.1000000000000001</v>
      </c>
      <c r="N28" s="3" t="s">
        <v>34</v>
      </c>
      <c r="O28">
        <v>0</v>
      </c>
      <c r="P28" s="3" t="s">
        <v>35</v>
      </c>
    </row>
    <row r="29" spans="1:16" x14ac:dyDescent="0.25">
      <c r="A29" s="3" t="s">
        <v>30</v>
      </c>
      <c r="B29" s="3" t="s">
        <v>31</v>
      </c>
      <c r="C29">
        <v>28</v>
      </c>
      <c r="D29" s="3" t="s">
        <v>189</v>
      </c>
      <c r="E29" s="3" t="s">
        <v>190</v>
      </c>
      <c r="F29">
        <v>2523</v>
      </c>
      <c r="G29">
        <v>546716.13159999996</v>
      </c>
      <c r="H29">
        <v>152.61529999999999</v>
      </c>
      <c r="I29">
        <v>171.38000500000001</v>
      </c>
      <c r="J29">
        <v>1.3</v>
      </c>
      <c r="K29">
        <v>546716</v>
      </c>
      <c r="L29">
        <v>1.3</v>
      </c>
      <c r="M29">
        <v>1.1000000000000001</v>
      </c>
      <c r="N29" s="3" t="s">
        <v>34</v>
      </c>
      <c r="O29">
        <v>0</v>
      </c>
      <c r="P29" s="3" t="s">
        <v>35</v>
      </c>
    </row>
    <row r="30" spans="1:16" x14ac:dyDescent="0.25">
      <c r="A30" s="3" t="s">
        <v>30</v>
      </c>
      <c r="B30" s="3" t="s">
        <v>31</v>
      </c>
      <c r="C30">
        <v>29</v>
      </c>
      <c r="D30" s="3" t="s">
        <v>191</v>
      </c>
      <c r="E30" s="3" t="s">
        <v>192</v>
      </c>
      <c r="F30">
        <v>10050</v>
      </c>
      <c r="G30">
        <v>537642.44720000005</v>
      </c>
      <c r="H30">
        <v>34.930399999999999</v>
      </c>
      <c r="I30">
        <v>42.309998</v>
      </c>
      <c r="J30">
        <v>1.2</v>
      </c>
      <c r="K30">
        <v>537642</v>
      </c>
      <c r="L30">
        <v>1.2</v>
      </c>
      <c r="M30">
        <v>1.3</v>
      </c>
      <c r="N30" s="3" t="s">
        <v>34</v>
      </c>
      <c r="O30">
        <v>0</v>
      </c>
      <c r="P30" s="3" t="s">
        <v>35</v>
      </c>
    </row>
    <row r="31" spans="1:16" x14ac:dyDescent="0.25">
      <c r="A31" s="3" t="s">
        <v>30</v>
      </c>
      <c r="B31" s="3" t="s">
        <v>31</v>
      </c>
      <c r="C31">
        <v>30</v>
      </c>
      <c r="D31" s="3" t="s">
        <v>193</v>
      </c>
      <c r="E31" s="3" t="s">
        <v>194</v>
      </c>
      <c r="F31">
        <v>5076</v>
      </c>
      <c r="G31">
        <v>528028.27599999995</v>
      </c>
      <c r="H31">
        <v>67.915800000000004</v>
      </c>
      <c r="I31">
        <v>70.190002000000007</v>
      </c>
      <c r="J31">
        <v>1.2</v>
      </c>
      <c r="K31">
        <v>528028</v>
      </c>
      <c r="L31">
        <v>1.2</v>
      </c>
      <c r="M31">
        <v>0</v>
      </c>
      <c r="N31" s="3" t="s">
        <v>34</v>
      </c>
      <c r="O31">
        <v>0</v>
      </c>
      <c r="P31" s="3" t="s">
        <v>35</v>
      </c>
    </row>
    <row r="32" spans="1:16" x14ac:dyDescent="0.25">
      <c r="A32" s="3" t="s">
        <v>30</v>
      </c>
      <c r="B32" s="3" t="s">
        <v>31</v>
      </c>
      <c r="C32">
        <v>31</v>
      </c>
      <c r="D32" s="3" t="s">
        <v>195</v>
      </c>
      <c r="E32" s="3" t="s">
        <v>196</v>
      </c>
      <c r="F32">
        <v>2862</v>
      </c>
      <c r="G32">
        <v>525002.85970000003</v>
      </c>
      <c r="H32">
        <v>252.69</v>
      </c>
      <c r="I32">
        <v>145.08000200000001</v>
      </c>
      <c r="J32">
        <v>1.2</v>
      </c>
      <c r="K32">
        <v>525003</v>
      </c>
      <c r="L32">
        <v>1.2</v>
      </c>
      <c r="M32">
        <v>0</v>
      </c>
      <c r="N32" s="3" t="s">
        <v>34</v>
      </c>
      <c r="O32">
        <v>0</v>
      </c>
      <c r="P32" s="3" t="s">
        <v>35</v>
      </c>
    </row>
    <row r="33" spans="1:16" x14ac:dyDescent="0.25">
      <c r="A33" s="3" t="s">
        <v>30</v>
      </c>
      <c r="B33" s="3" t="s">
        <v>31</v>
      </c>
      <c r="C33">
        <v>32</v>
      </c>
      <c r="D33" s="3" t="s">
        <v>197</v>
      </c>
      <c r="E33" s="3" t="s">
        <v>198</v>
      </c>
      <c r="F33">
        <v>804</v>
      </c>
      <c r="G33">
        <v>513290.28240000003</v>
      </c>
      <c r="H33">
        <v>434.66239999999999</v>
      </c>
      <c r="I33">
        <v>504.70996100000002</v>
      </c>
      <c r="J33">
        <v>1.2</v>
      </c>
      <c r="K33">
        <v>513290</v>
      </c>
      <c r="L33">
        <v>1.2</v>
      </c>
      <c r="M33">
        <v>2.9</v>
      </c>
      <c r="N33" s="3" t="s">
        <v>34</v>
      </c>
      <c r="O33">
        <v>0</v>
      </c>
      <c r="P33" s="3" t="s">
        <v>35</v>
      </c>
    </row>
    <row r="34" spans="1:16" x14ac:dyDescent="0.25">
      <c r="A34" s="3" t="s">
        <v>30</v>
      </c>
      <c r="B34" s="3" t="s">
        <v>31</v>
      </c>
      <c r="C34">
        <v>33</v>
      </c>
      <c r="D34" s="3" t="s">
        <v>199</v>
      </c>
      <c r="E34" s="3" t="s">
        <v>200</v>
      </c>
      <c r="F34">
        <v>1640</v>
      </c>
      <c r="G34">
        <v>480705.67629999999</v>
      </c>
      <c r="H34">
        <v>248.02449999999999</v>
      </c>
      <c r="I34">
        <v>231.58999600000001</v>
      </c>
      <c r="J34">
        <v>1.1000000000000001</v>
      </c>
      <c r="K34">
        <v>480706</v>
      </c>
      <c r="L34">
        <v>1.1000000000000001</v>
      </c>
      <c r="M34">
        <v>0</v>
      </c>
      <c r="N34" s="3" t="s">
        <v>34</v>
      </c>
      <c r="O34">
        <v>0</v>
      </c>
      <c r="P34" s="3" t="s">
        <v>35</v>
      </c>
    </row>
    <row r="35" spans="1:16" x14ac:dyDescent="0.25">
      <c r="A35" s="3" t="s">
        <v>30</v>
      </c>
      <c r="B35" s="3" t="s">
        <v>31</v>
      </c>
      <c r="C35">
        <v>34</v>
      </c>
      <c r="D35" s="3" t="s">
        <v>201</v>
      </c>
      <c r="E35" s="3" t="s">
        <v>202</v>
      </c>
      <c r="F35">
        <v>773</v>
      </c>
      <c r="G35">
        <v>455459.63919999998</v>
      </c>
      <c r="H35">
        <v>423.36279999999999</v>
      </c>
      <c r="I35">
        <v>466</v>
      </c>
      <c r="J35">
        <v>1.1000000000000001</v>
      </c>
      <c r="K35">
        <v>455460</v>
      </c>
      <c r="L35">
        <v>1.1000000000000001</v>
      </c>
      <c r="M35">
        <v>0.5</v>
      </c>
      <c r="N35" s="3" t="s">
        <v>34</v>
      </c>
      <c r="O35">
        <v>0</v>
      </c>
      <c r="P35" s="3" t="s">
        <v>35</v>
      </c>
    </row>
    <row r="36" spans="1:16" x14ac:dyDescent="0.25">
      <c r="A36" s="3" t="s">
        <v>30</v>
      </c>
      <c r="B36" s="3" t="s">
        <v>31</v>
      </c>
      <c r="C36">
        <v>35</v>
      </c>
      <c r="D36" s="3" t="s">
        <v>203</v>
      </c>
      <c r="E36" s="3" t="s">
        <v>204</v>
      </c>
      <c r="F36">
        <v>78037</v>
      </c>
      <c r="G36">
        <v>445988.36739999999</v>
      </c>
      <c r="H36">
        <v>17.188099999999999</v>
      </c>
      <c r="I36">
        <v>4.5199999999999996</v>
      </c>
      <c r="J36">
        <v>1</v>
      </c>
      <c r="K36">
        <v>445988</v>
      </c>
      <c r="L36">
        <v>1</v>
      </c>
      <c r="M36">
        <v>0</v>
      </c>
      <c r="N36" s="3" t="s">
        <v>34</v>
      </c>
      <c r="O36">
        <v>0</v>
      </c>
      <c r="P36" s="3" t="s">
        <v>35</v>
      </c>
    </row>
    <row r="37" spans="1:16" x14ac:dyDescent="0.25">
      <c r="A37" s="3" t="s">
        <v>30</v>
      </c>
      <c r="B37" s="3" t="s">
        <v>31</v>
      </c>
      <c r="C37">
        <v>36</v>
      </c>
      <c r="D37" s="3" t="s">
        <v>205</v>
      </c>
      <c r="E37" s="3" t="s">
        <v>206</v>
      </c>
      <c r="F37">
        <v>199</v>
      </c>
      <c r="G37">
        <v>433324.49190000002</v>
      </c>
      <c r="H37">
        <v>1461.2609</v>
      </c>
      <c r="I37">
        <v>2177.51001</v>
      </c>
      <c r="J37">
        <v>1</v>
      </c>
      <c r="K37">
        <v>433324</v>
      </c>
      <c r="L37">
        <v>1</v>
      </c>
      <c r="M37">
        <v>0.2</v>
      </c>
      <c r="N37" s="3" t="s">
        <v>34</v>
      </c>
      <c r="O37">
        <v>0</v>
      </c>
      <c r="P37" s="3" t="s">
        <v>35</v>
      </c>
    </row>
    <row r="38" spans="1:16" x14ac:dyDescent="0.25">
      <c r="A38" s="3" t="s">
        <v>30</v>
      </c>
      <c r="B38" s="3" t="s">
        <v>31</v>
      </c>
      <c r="C38">
        <v>37</v>
      </c>
      <c r="D38" s="3" t="s">
        <v>207</v>
      </c>
      <c r="E38" s="3" t="s">
        <v>208</v>
      </c>
      <c r="F38">
        <v>7965</v>
      </c>
      <c r="G38">
        <v>426202.5085</v>
      </c>
      <c r="H38">
        <v>49.301600000000001</v>
      </c>
      <c r="I38">
        <v>42.290008999999998</v>
      </c>
      <c r="J38">
        <v>1</v>
      </c>
      <c r="K38">
        <v>426203</v>
      </c>
      <c r="L38">
        <v>1</v>
      </c>
      <c r="M38">
        <v>0</v>
      </c>
      <c r="N38" s="3" t="s">
        <v>34</v>
      </c>
      <c r="O38">
        <v>0</v>
      </c>
      <c r="P38" s="3" t="s">
        <v>35</v>
      </c>
    </row>
    <row r="39" spans="1:16" x14ac:dyDescent="0.25">
      <c r="A39" s="3" t="s">
        <v>30</v>
      </c>
      <c r="B39" s="3" t="s">
        <v>31</v>
      </c>
      <c r="C39">
        <v>38</v>
      </c>
      <c r="D39" s="3" t="s">
        <v>209</v>
      </c>
      <c r="E39" s="3" t="s">
        <v>210</v>
      </c>
      <c r="F39">
        <v>174984</v>
      </c>
      <c r="G39">
        <v>413737.04379999998</v>
      </c>
      <c r="H39">
        <v>2.6048</v>
      </c>
      <c r="I39">
        <v>1.87</v>
      </c>
      <c r="J39">
        <v>1</v>
      </c>
      <c r="K39">
        <v>413737</v>
      </c>
      <c r="L39">
        <v>1</v>
      </c>
      <c r="M39">
        <v>0</v>
      </c>
      <c r="N39" s="3" t="s">
        <v>34</v>
      </c>
      <c r="O39">
        <v>0</v>
      </c>
      <c r="P39" s="3" t="s">
        <v>35</v>
      </c>
    </row>
    <row r="40" spans="1:16" x14ac:dyDescent="0.25">
      <c r="A40" s="3" t="s">
        <v>30</v>
      </c>
      <c r="B40" s="3" t="s">
        <v>31</v>
      </c>
      <c r="C40">
        <v>39</v>
      </c>
      <c r="D40" s="3" t="s">
        <v>211</v>
      </c>
      <c r="E40" s="3" t="s">
        <v>212</v>
      </c>
      <c r="F40">
        <v>11900</v>
      </c>
      <c r="G40">
        <v>404038.98</v>
      </c>
      <c r="H40">
        <v>2559.5716000000002</v>
      </c>
      <c r="I40">
        <v>2974.5</v>
      </c>
      <c r="J40">
        <v>0.9</v>
      </c>
      <c r="K40">
        <v>404039</v>
      </c>
      <c r="L40">
        <v>0.9</v>
      </c>
      <c r="M40">
        <v>1.7</v>
      </c>
      <c r="N40" s="3" t="s">
        <v>34</v>
      </c>
      <c r="O40">
        <v>0</v>
      </c>
      <c r="P40" s="3" t="s">
        <v>35</v>
      </c>
    </row>
    <row r="41" spans="1:16" x14ac:dyDescent="0.25">
      <c r="A41" s="3" t="s">
        <v>30</v>
      </c>
      <c r="B41" s="3" t="s">
        <v>31</v>
      </c>
      <c r="C41">
        <v>40</v>
      </c>
      <c r="D41" s="3" t="s">
        <v>213</v>
      </c>
      <c r="E41" s="3" t="s">
        <v>210</v>
      </c>
      <c r="F41">
        <v>169200</v>
      </c>
      <c r="G41">
        <v>403394.50660000002</v>
      </c>
      <c r="H41">
        <v>16.070900000000002</v>
      </c>
      <c r="I41">
        <v>14.68</v>
      </c>
      <c r="J41">
        <v>0.9</v>
      </c>
      <c r="K41">
        <v>403395</v>
      </c>
      <c r="L41">
        <v>0.9</v>
      </c>
      <c r="M41">
        <v>0</v>
      </c>
      <c r="N41" s="3" t="s">
        <v>34</v>
      </c>
      <c r="O41">
        <v>0</v>
      </c>
      <c r="P41" s="3" t="s">
        <v>35</v>
      </c>
    </row>
    <row r="42" spans="1:16" x14ac:dyDescent="0.25">
      <c r="A42" s="3" t="s">
        <v>30</v>
      </c>
      <c r="B42" s="3" t="s">
        <v>31</v>
      </c>
      <c r="C42">
        <v>41</v>
      </c>
      <c r="D42" s="3" t="s">
        <v>214</v>
      </c>
      <c r="E42" s="3" t="s">
        <v>215</v>
      </c>
      <c r="F42">
        <v>10338</v>
      </c>
      <c r="G42">
        <v>379984.7402</v>
      </c>
      <c r="H42">
        <v>44.176600000000001</v>
      </c>
      <c r="I42">
        <v>29.059998</v>
      </c>
      <c r="J42">
        <v>0.9</v>
      </c>
      <c r="K42">
        <v>379985</v>
      </c>
      <c r="L42">
        <v>0.9</v>
      </c>
      <c r="M42">
        <v>0</v>
      </c>
      <c r="N42" s="3" t="s">
        <v>34</v>
      </c>
      <c r="O42">
        <v>0</v>
      </c>
      <c r="P42" s="3" t="s">
        <v>35</v>
      </c>
    </row>
    <row r="43" spans="1:16" x14ac:dyDescent="0.25">
      <c r="A43" s="3" t="s">
        <v>30</v>
      </c>
      <c r="B43" s="3" t="s">
        <v>31</v>
      </c>
      <c r="C43">
        <v>42</v>
      </c>
      <c r="D43" s="3" t="s">
        <v>216</v>
      </c>
      <c r="E43" s="3" t="s">
        <v>217</v>
      </c>
      <c r="F43">
        <v>97</v>
      </c>
      <c r="G43">
        <v>348844.29920000001</v>
      </c>
      <c r="H43">
        <v>1714.3545999999999</v>
      </c>
      <c r="I43">
        <v>2844.3000489999999</v>
      </c>
      <c r="J43">
        <v>0.8</v>
      </c>
      <c r="K43">
        <v>348844</v>
      </c>
      <c r="L43">
        <v>0.8</v>
      </c>
      <c r="M43">
        <v>0</v>
      </c>
      <c r="N43" s="3" t="s">
        <v>34</v>
      </c>
      <c r="O43">
        <v>0</v>
      </c>
      <c r="P43" s="3" t="s">
        <v>35</v>
      </c>
    </row>
    <row r="44" spans="1:16" x14ac:dyDescent="0.25">
      <c r="A44" s="3" t="s">
        <v>30</v>
      </c>
      <c r="B44" s="3" t="s">
        <v>31</v>
      </c>
      <c r="C44">
        <v>43</v>
      </c>
      <c r="D44" s="3" t="s">
        <v>218</v>
      </c>
      <c r="E44" s="3" t="s">
        <v>219</v>
      </c>
      <c r="F44">
        <v>774</v>
      </c>
      <c r="G44">
        <v>342007.24920000002</v>
      </c>
      <c r="H44">
        <v>372.6388</v>
      </c>
      <c r="I44">
        <v>349.46997099999999</v>
      </c>
      <c r="J44">
        <v>0.8</v>
      </c>
      <c r="K44">
        <v>342007</v>
      </c>
      <c r="L44">
        <v>0.8</v>
      </c>
      <c r="M44">
        <v>3.2</v>
      </c>
      <c r="N44" s="3" t="s">
        <v>34</v>
      </c>
      <c r="O44">
        <v>0</v>
      </c>
      <c r="P44" s="3" t="s">
        <v>35</v>
      </c>
    </row>
    <row r="45" spans="1:16" x14ac:dyDescent="0.25">
      <c r="A45" s="3" t="s">
        <v>30</v>
      </c>
      <c r="B45" s="3" t="s">
        <v>31</v>
      </c>
      <c r="C45">
        <v>44</v>
      </c>
      <c r="D45" s="3" t="s">
        <v>220</v>
      </c>
      <c r="E45" s="3" t="s">
        <v>221</v>
      </c>
      <c r="F45">
        <v>902</v>
      </c>
      <c r="G45">
        <v>332691.94329999998</v>
      </c>
      <c r="H45">
        <v>405.37430000000001</v>
      </c>
      <c r="I45">
        <v>291.41992199999999</v>
      </c>
      <c r="J45">
        <v>0.8</v>
      </c>
      <c r="K45">
        <v>332692</v>
      </c>
      <c r="L45">
        <v>0.8</v>
      </c>
      <c r="M45">
        <v>0</v>
      </c>
      <c r="N45" s="3" t="s">
        <v>34</v>
      </c>
      <c r="O45">
        <v>0</v>
      </c>
      <c r="P45" s="3" t="s">
        <v>35</v>
      </c>
    </row>
    <row r="46" spans="1:16" x14ac:dyDescent="0.25">
      <c r="A46" s="3" t="s">
        <v>30</v>
      </c>
      <c r="B46" s="3" t="s">
        <v>31</v>
      </c>
      <c r="C46">
        <v>45</v>
      </c>
      <c r="D46" s="3" t="s">
        <v>222</v>
      </c>
      <c r="E46" s="3" t="s">
        <v>223</v>
      </c>
      <c r="F46">
        <v>7279</v>
      </c>
      <c r="G46">
        <v>328379.84490000003</v>
      </c>
      <c r="H46">
        <v>25.4908</v>
      </c>
      <c r="I46">
        <v>30.439986999999999</v>
      </c>
      <c r="J46">
        <v>0.8</v>
      </c>
      <c r="K46">
        <v>328380</v>
      </c>
      <c r="L46">
        <v>0.8</v>
      </c>
      <c r="M46">
        <v>0</v>
      </c>
      <c r="N46" s="3" t="s">
        <v>34</v>
      </c>
      <c r="O46">
        <v>0</v>
      </c>
      <c r="P46" s="3" t="s">
        <v>35</v>
      </c>
    </row>
    <row r="47" spans="1:16" x14ac:dyDescent="0.25">
      <c r="A47" s="3" t="s">
        <v>30</v>
      </c>
      <c r="B47" s="3" t="s">
        <v>31</v>
      </c>
      <c r="C47">
        <v>46</v>
      </c>
      <c r="D47" s="3" t="s">
        <v>224</v>
      </c>
      <c r="E47" s="3" t="s">
        <v>225</v>
      </c>
      <c r="F47">
        <v>17888</v>
      </c>
      <c r="G47">
        <v>307373.0135</v>
      </c>
      <c r="H47">
        <v>21.315300000000001</v>
      </c>
      <c r="I47">
        <v>13.59</v>
      </c>
      <c r="J47">
        <v>0.7</v>
      </c>
      <c r="K47">
        <v>307373</v>
      </c>
      <c r="L47">
        <v>0.7</v>
      </c>
      <c r="M47">
        <v>0</v>
      </c>
      <c r="N47" s="3" t="s">
        <v>34</v>
      </c>
      <c r="O47">
        <v>0</v>
      </c>
      <c r="P47" s="3" t="s">
        <v>35</v>
      </c>
    </row>
    <row r="48" spans="1:16" x14ac:dyDescent="0.25">
      <c r="A48" s="3" t="s">
        <v>30</v>
      </c>
      <c r="B48" s="3" t="s">
        <v>31</v>
      </c>
      <c r="C48">
        <v>47</v>
      </c>
      <c r="D48" s="3" t="s">
        <v>226</v>
      </c>
      <c r="E48" s="3" t="s">
        <v>227</v>
      </c>
      <c r="F48">
        <v>748</v>
      </c>
      <c r="G48">
        <v>145837.91620000001</v>
      </c>
      <c r="H48">
        <v>141.2004</v>
      </c>
      <c r="I48">
        <v>154.199997</v>
      </c>
      <c r="J48">
        <v>0.3</v>
      </c>
      <c r="K48">
        <v>145838</v>
      </c>
      <c r="L48">
        <v>0.3</v>
      </c>
      <c r="M48">
        <v>2.8</v>
      </c>
      <c r="N48" s="3" t="s">
        <v>34</v>
      </c>
      <c r="O48">
        <v>0</v>
      </c>
      <c r="P48" s="3" t="s">
        <v>35</v>
      </c>
    </row>
    <row r="49" spans="1:16" x14ac:dyDescent="0.25">
      <c r="A49" s="3" t="s">
        <v>30</v>
      </c>
      <c r="B49" s="3" t="s">
        <v>31</v>
      </c>
      <c r="C49">
        <v>48</v>
      </c>
      <c r="D49" s="3" t="s">
        <v>228</v>
      </c>
      <c r="E49" s="3" t="s">
        <v>229</v>
      </c>
      <c r="F49">
        <v>59</v>
      </c>
      <c r="G49">
        <v>12877.382600000001</v>
      </c>
      <c r="H49">
        <v>118.71980000000001</v>
      </c>
      <c r="I49">
        <v>172.550003</v>
      </c>
      <c r="J49">
        <v>0</v>
      </c>
      <c r="K49">
        <v>12877</v>
      </c>
      <c r="L49">
        <v>0</v>
      </c>
      <c r="M49">
        <v>1.6</v>
      </c>
      <c r="N49" s="3" t="s">
        <v>34</v>
      </c>
      <c r="O49">
        <v>0</v>
      </c>
      <c r="P49" s="3" t="s">
        <v>35</v>
      </c>
    </row>
    <row r="50" spans="1:16" x14ac:dyDescent="0.25">
      <c r="A50" s="3" t="s">
        <v>30</v>
      </c>
      <c r="B50" s="3" t="s">
        <v>70</v>
      </c>
      <c r="C50">
        <v>1</v>
      </c>
      <c r="D50" s="3" t="s">
        <v>230</v>
      </c>
      <c r="E50" s="3" t="s">
        <v>71</v>
      </c>
      <c r="F50">
        <v>1617</v>
      </c>
      <c r="G50">
        <v>1497843.5290000001</v>
      </c>
      <c r="H50">
        <v>98.328900000000004</v>
      </c>
      <c r="I50">
        <v>92.468001999999998</v>
      </c>
      <c r="J50">
        <v>3.5</v>
      </c>
      <c r="K50">
        <v>1497844</v>
      </c>
      <c r="L50">
        <v>3.5</v>
      </c>
      <c r="M50">
        <v>0</v>
      </c>
      <c r="N50" s="3" t="s">
        <v>34</v>
      </c>
      <c r="O50">
        <v>0</v>
      </c>
      <c r="P50" s="3" t="s">
        <v>35</v>
      </c>
    </row>
    <row r="51" spans="1:16" x14ac:dyDescent="0.25">
      <c r="A51" s="3" t="s">
        <v>30</v>
      </c>
      <c r="B51" s="3" t="s">
        <v>70</v>
      </c>
      <c r="C51">
        <v>2</v>
      </c>
      <c r="D51" s="3" t="s">
        <v>231</v>
      </c>
      <c r="E51" s="3" t="s">
        <v>72</v>
      </c>
      <c r="F51">
        <v>780</v>
      </c>
      <c r="G51">
        <v>768697.63320000004</v>
      </c>
      <c r="H51">
        <v>100.53</v>
      </c>
      <c r="I51">
        <v>98.513992000000002</v>
      </c>
      <c r="J51">
        <v>1.8</v>
      </c>
      <c r="K51">
        <v>768698</v>
      </c>
      <c r="L51">
        <v>1.8</v>
      </c>
      <c r="M51">
        <v>0</v>
      </c>
      <c r="N51" s="3" t="s">
        <v>34</v>
      </c>
      <c r="O51">
        <v>0</v>
      </c>
      <c r="P51" s="3" t="s">
        <v>35</v>
      </c>
    </row>
    <row r="52" spans="1:16" x14ac:dyDescent="0.25">
      <c r="A52" s="3" t="s">
        <v>30</v>
      </c>
      <c r="B52" s="3" t="s">
        <v>73</v>
      </c>
      <c r="C52">
        <v>1</v>
      </c>
      <c r="D52" s="3" t="s">
        <v>232</v>
      </c>
      <c r="E52" s="3" t="s">
        <v>233</v>
      </c>
      <c r="F52">
        <v>1000</v>
      </c>
      <c r="G52">
        <v>536105.57109999994</v>
      </c>
      <c r="H52">
        <v>5.4710000000000001</v>
      </c>
      <c r="I52">
        <v>4.24</v>
      </c>
      <c r="J52">
        <v>1.2</v>
      </c>
      <c r="K52">
        <v>536106</v>
      </c>
      <c r="L52">
        <v>1.2</v>
      </c>
      <c r="M52">
        <v>0</v>
      </c>
      <c r="N52" s="3" t="s">
        <v>77</v>
      </c>
      <c r="O52">
        <v>440</v>
      </c>
      <c r="P52" s="3" t="s">
        <v>78</v>
      </c>
    </row>
    <row r="53" spans="1:16" x14ac:dyDescent="0.25">
      <c r="A53" s="3" t="s">
        <v>30</v>
      </c>
      <c r="B53" s="3" t="s">
        <v>73</v>
      </c>
      <c r="C53">
        <v>2</v>
      </c>
      <c r="D53" s="3" t="s">
        <v>234</v>
      </c>
      <c r="E53" s="3" t="s">
        <v>233</v>
      </c>
      <c r="F53">
        <v>1200</v>
      </c>
      <c r="G53">
        <v>12138.24</v>
      </c>
      <c r="H53">
        <v>5.5228000000000002</v>
      </c>
      <c r="I53">
        <v>0.08</v>
      </c>
      <c r="J53">
        <v>0</v>
      </c>
      <c r="K53">
        <v>12138</v>
      </c>
      <c r="L53">
        <v>0</v>
      </c>
      <c r="M53">
        <v>0</v>
      </c>
      <c r="N53" s="3" t="s">
        <v>77</v>
      </c>
      <c r="O53">
        <v>430</v>
      </c>
      <c r="P53" s="3" t="s">
        <v>80</v>
      </c>
    </row>
    <row r="54" spans="1:16" x14ac:dyDescent="0.25">
      <c r="A54" s="3" t="s">
        <v>30</v>
      </c>
      <c r="B54" s="3" t="s">
        <v>73</v>
      </c>
      <c r="C54">
        <v>3</v>
      </c>
      <c r="D54" s="3" t="s">
        <v>235</v>
      </c>
      <c r="E54" s="3" t="s">
        <v>233</v>
      </c>
      <c r="F54">
        <v>600</v>
      </c>
      <c r="G54">
        <v>2275.92</v>
      </c>
      <c r="H54">
        <v>4.7324999999999999</v>
      </c>
      <c r="I54">
        <v>0.03</v>
      </c>
      <c r="J54">
        <v>0</v>
      </c>
      <c r="K54">
        <v>2276</v>
      </c>
      <c r="L54">
        <v>0</v>
      </c>
      <c r="M54">
        <v>0</v>
      </c>
      <c r="N54" s="3" t="s">
        <v>77</v>
      </c>
      <c r="O54">
        <v>425</v>
      </c>
      <c r="P54" s="3" t="s">
        <v>82</v>
      </c>
    </row>
    <row r="55" spans="1:16" x14ac:dyDescent="0.25">
      <c r="A55" s="3" t="s">
        <v>30</v>
      </c>
      <c r="B55" s="3" t="s">
        <v>73</v>
      </c>
      <c r="C55">
        <v>4</v>
      </c>
      <c r="D55" s="3" t="s">
        <v>236</v>
      </c>
      <c r="E55" s="3" t="s">
        <v>227</v>
      </c>
      <c r="F55">
        <v>-7</v>
      </c>
      <c r="G55">
        <v>-8.8507999999999996</v>
      </c>
      <c r="H55">
        <v>1.84</v>
      </c>
      <c r="I55">
        <v>0.01</v>
      </c>
      <c r="J55">
        <v>0</v>
      </c>
      <c r="K55">
        <v>-9</v>
      </c>
      <c r="L55">
        <v>0</v>
      </c>
      <c r="M55">
        <v>0</v>
      </c>
      <c r="N55" s="3" t="s">
        <v>84</v>
      </c>
      <c r="O55">
        <v>155</v>
      </c>
      <c r="P55" s="3" t="s">
        <v>80</v>
      </c>
    </row>
    <row r="56" spans="1:16" x14ac:dyDescent="0.25">
      <c r="A56" s="3" t="s">
        <v>30</v>
      </c>
      <c r="B56" s="3" t="s">
        <v>73</v>
      </c>
      <c r="C56">
        <v>5</v>
      </c>
      <c r="D56" s="3" t="s">
        <v>237</v>
      </c>
      <c r="E56" s="3" t="s">
        <v>217</v>
      </c>
      <c r="F56">
        <v>-3</v>
      </c>
      <c r="G56">
        <v>-18.966000000000001</v>
      </c>
      <c r="H56">
        <v>41.8</v>
      </c>
      <c r="I56">
        <v>0.05</v>
      </c>
      <c r="J56">
        <v>0</v>
      </c>
      <c r="K56">
        <v>-19</v>
      </c>
      <c r="L56">
        <v>0</v>
      </c>
      <c r="M56">
        <v>0</v>
      </c>
      <c r="N56" s="3" t="s">
        <v>77</v>
      </c>
      <c r="O56">
        <v>2300</v>
      </c>
      <c r="P56" s="3" t="s">
        <v>80</v>
      </c>
    </row>
    <row r="57" spans="1:16" x14ac:dyDescent="0.25">
      <c r="A57" s="3" t="s">
        <v>30</v>
      </c>
      <c r="B57" s="3" t="s">
        <v>73</v>
      </c>
      <c r="C57">
        <v>6</v>
      </c>
      <c r="D57" s="3" t="s">
        <v>238</v>
      </c>
      <c r="E57" s="3" t="s">
        <v>177</v>
      </c>
      <c r="F57">
        <v>-17</v>
      </c>
      <c r="G57">
        <v>-21.494800000000001</v>
      </c>
      <c r="H57">
        <v>2.5</v>
      </c>
      <c r="I57">
        <v>0.01</v>
      </c>
      <c r="J57">
        <v>0</v>
      </c>
      <c r="K57">
        <v>-21</v>
      </c>
      <c r="L57">
        <v>0</v>
      </c>
      <c r="M57">
        <v>0</v>
      </c>
      <c r="N57" s="3" t="s">
        <v>84</v>
      </c>
      <c r="O57">
        <v>255</v>
      </c>
      <c r="P57" s="3" t="s">
        <v>80</v>
      </c>
    </row>
    <row r="58" spans="1:16" x14ac:dyDescent="0.25">
      <c r="A58" s="3" t="s">
        <v>30</v>
      </c>
      <c r="B58" s="3" t="s">
        <v>73</v>
      </c>
      <c r="C58">
        <v>7</v>
      </c>
      <c r="D58" s="3" t="s">
        <v>239</v>
      </c>
      <c r="E58" s="3" t="s">
        <v>141</v>
      </c>
      <c r="F58">
        <v>-21</v>
      </c>
      <c r="G58">
        <v>-26.552399999999999</v>
      </c>
      <c r="H58">
        <v>3.8</v>
      </c>
      <c r="I58">
        <v>0.01</v>
      </c>
      <c r="J58">
        <v>0</v>
      </c>
      <c r="K58">
        <v>-27</v>
      </c>
      <c r="L58">
        <v>0</v>
      </c>
      <c r="M58">
        <v>0</v>
      </c>
      <c r="N58" s="3" t="s">
        <v>84</v>
      </c>
      <c r="O58">
        <v>380</v>
      </c>
      <c r="P58" s="3" t="s">
        <v>80</v>
      </c>
    </row>
    <row r="59" spans="1:16" x14ac:dyDescent="0.25">
      <c r="A59" s="3" t="s">
        <v>30</v>
      </c>
      <c r="B59" s="3" t="s">
        <v>73</v>
      </c>
      <c r="C59">
        <v>8</v>
      </c>
      <c r="D59" s="3" t="s">
        <v>240</v>
      </c>
      <c r="E59" s="3" t="s">
        <v>137</v>
      </c>
      <c r="F59">
        <v>-31</v>
      </c>
      <c r="G59">
        <v>-39.196399999999997</v>
      </c>
      <c r="H59">
        <v>2.08</v>
      </c>
      <c r="I59">
        <v>0.01</v>
      </c>
      <c r="J59">
        <v>0</v>
      </c>
      <c r="K59">
        <v>-39</v>
      </c>
      <c r="L59">
        <v>0</v>
      </c>
      <c r="M59">
        <v>0</v>
      </c>
      <c r="N59" s="3" t="s">
        <v>84</v>
      </c>
      <c r="O59">
        <v>290</v>
      </c>
      <c r="P59" s="3" t="s">
        <v>80</v>
      </c>
    </row>
    <row r="60" spans="1:16" x14ac:dyDescent="0.25">
      <c r="A60" s="3" t="s">
        <v>30</v>
      </c>
      <c r="B60" s="3" t="s">
        <v>73</v>
      </c>
      <c r="C60">
        <v>9</v>
      </c>
      <c r="D60" s="3" t="s">
        <v>241</v>
      </c>
      <c r="E60" s="3" t="s">
        <v>198</v>
      </c>
      <c r="F60">
        <v>-8</v>
      </c>
      <c r="G60">
        <v>-50.576000000000001</v>
      </c>
      <c r="H60">
        <v>6.9</v>
      </c>
      <c r="I60">
        <v>0.05</v>
      </c>
      <c r="J60">
        <v>0</v>
      </c>
      <c r="K60">
        <v>-51</v>
      </c>
      <c r="L60">
        <v>0</v>
      </c>
      <c r="M60">
        <v>0</v>
      </c>
      <c r="N60" s="3" t="s">
        <v>84</v>
      </c>
      <c r="O60">
        <v>520</v>
      </c>
      <c r="P60" s="3" t="s">
        <v>80</v>
      </c>
    </row>
    <row r="61" spans="1:16" x14ac:dyDescent="0.25">
      <c r="A61" s="3" t="s">
        <v>30</v>
      </c>
      <c r="B61" s="3" t="s">
        <v>73</v>
      </c>
      <c r="C61">
        <v>10</v>
      </c>
      <c r="D61" s="3" t="s">
        <v>242</v>
      </c>
      <c r="E61" s="3" t="s">
        <v>157</v>
      </c>
      <c r="F61">
        <v>-18</v>
      </c>
      <c r="G61">
        <v>-91.036799999999999</v>
      </c>
      <c r="H61">
        <v>2.2999999999999998</v>
      </c>
      <c r="I61">
        <v>0.04</v>
      </c>
      <c r="J61">
        <v>0</v>
      </c>
      <c r="K61">
        <v>-91</v>
      </c>
      <c r="L61">
        <v>0</v>
      </c>
      <c r="M61">
        <v>0</v>
      </c>
      <c r="N61" s="3" t="s">
        <v>84</v>
      </c>
      <c r="O61">
        <v>280</v>
      </c>
      <c r="P61" s="3" t="s">
        <v>80</v>
      </c>
    </row>
    <row r="62" spans="1:16" x14ac:dyDescent="0.25">
      <c r="A62" s="3" t="s">
        <v>30</v>
      </c>
      <c r="B62" s="3" t="s">
        <v>73</v>
      </c>
      <c r="C62">
        <v>11</v>
      </c>
      <c r="D62" s="3" t="s">
        <v>243</v>
      </c>
      <c r="E62" s="3" t="s">
        <v>244</v>
      </c>
      <c r="F62">
        <v>-60</v>
      </c>
      <c r="G62">
        <v>-303.45600000000002</v>
      </c>
      <c r="H62">
        <v>3.5</v>
      </c>
      <c r="I62">
        <v>0.01</v>
      </c>
      <c r="J62">
        <v>0</v>
      </c>
      <c r="K62">
        <v>-303</v>
      </c>
      <c r="L62">
        <v>0</v>
      </c>
      <c r="M62">
        <v>0</v>
      </c>
      <c r="N62" s="3" t="s">
        <v>77</v>
      </c>
      <c r="O62">
        <v>110</v>
      </c>
      <c r="P62" s="3" t="s">
        <v>78</v>
      </c>
    </row>
    <row r="63" spans="1:16" x14ac:dyDescent="0.25">
      <c r="A63" s="3" t="s">
        <v>30</v>
      </c>
      <c r="B63" s="3" t="s">
        <v>73</v>
      </c>
      <c r="C63">
        <v>12</v>
      </c>
      <c r="D63" s="3" t="s">
        <v>245</v>
      </c>
      <c r="E63" s="3" t="s">
        <v>190</v>
      </c>
      <c r="F63">
        <v>-25</v>
      </c>
      <c r="G63">
        <v>-316.10000000000002</v>
      </c>
      <c r="H63">
        <v>2</v>
      </c>
      <c r="I63">
        <v>0.1</v>
      </c>
      <c r="J63">
        <v>0</v>
      </c>
      <c r="K63">
        <v>-316</v>
      </c>
      <c r="L63">
        <v>0</v>
      </c>
      <c r="M63">
        <v>0</v>
      </c>
      <c r="N63" s="3" t="s">
        <v>84</v>
      </c>
      <c r="O63">
        <v>185</v>
      </c>
      <c r="P63" s="3" t="s">
        <v>80</v>
      </c>
    </row>
    <row r="64" spans="1:16" x14ac:dyDescent="0.25">
      <c r="A64" s="3" t="s">
        <v>30</v>
      </c>
      <c r="B64" s="3" t="s">
        <v>73</v>
      </c>
      <c r="C64">
        <v>13</v>
      </c>
      <c r="D64" s="3" t="s">
        <v>246</v>
      </c>
      <c r="E64" s="3" t="s">
        <v>157</v>
      </c>
      <c r="F64">
        <v>-40</v>
      </c>
      <c r="G64">
        <v>-455.18400000000003</v>
      </c>
      <c r="H64">
        <v>3.7</v>
      </c>
      <c r="I64">
        <v>0.09</v>
      </c>
      <c r="J64">
        <v>0</v>
      </c>
      <c r="K64">
        <v>-455</v>
      </c>
      <c r="L64">
        <v>0</v>
      </c>
      <c r="M64">
        <v>0</v>
      </c>
      <c r="N64" s="3" t="s">
        <v>77</v>
      </c>
      <c r="O64">
        <v>200</v>
      </c>
      <c r="P64" s="3" t="s">
        <v>80</v>
      </c>
    </row>
    <row r="65" spans="1:16" x14ac:dyDescent="0.25">
      <c r="A65" s="3" t="s">
        <v>30</v>
      </c>
      <c r="B65" s="3" t="s">
        <v>73</v>
      </c>
      <c r="C65">
        <v>14</v>
      </c>
      <c r="D65" s="3" t="s">
        <v>247</v>
      </c>
      <c r="E65" s="3" t="s">
        <v>215</v>
      </c>
      <c r="F65">
        <v>-103</v>
      </c>
      <c r="G65">
        <v>-651.16600000000005</v>
      </c>
      <c r="H65">
        <v>0.7</v>
      </c>
      <c r="I65">
        <v>0.05</v>
      </c>
      <c r="J65">
        <v>0</v>
      </c>
      <c r="K65">
        <v>-651</v>
      </c>
      <c r="L65">
        <v>0</v>
      </c>
      <c r="M65">
        <v>0</v>
      </c>
      <c r="N65" s="3" t="s">
        <v>84</v>
      </c>
      <c r="O65">
        <v>45</v>
      </c>
      <c r="P65" s="3" t="s">
        <v>80</v>
      </c>
    </row>
    <row r="66" spans="1:16" x14ac:dyDescent="0.25">
      <c r="A66" s="3" t="s">
        <v>30</v>
      </c>
      <c r="B66" s="3" t="s">
        <v>73</v>
      </c>
      <c r="C66">
        <v>15</v>
      </c>
      <c r="D66" s="3" t="s">
        <v>248</v>
      </c>
      <c r="E66" s="3" t="s">
        <v>233</v>
      </c>
      <c r="F66">
        <v>-600</v>
      </c>
      <c r="G66">
        <v>-758.64</v>
      </c>
      <c r="H66">
        <v>1.923</v>
      </c>
      <c r="I66">
        <v>0.01</v>
      </c>
      <c r="J66">
        <v>0</v>
      </c>
      <c r="K66">
        <v>-759</v>
      </c>
      <c r="L66">
        <v>0</v>
      </c>
      <c r="M66">
        <v>0</v>
      </c>
      <c r="N66" s="3" t="s">
        <v>77</v>
      </c>
      <c r="O66">
        <v>400</v>
      </c>
      <c r="P66" s="3" t="s">
        <v>82</v>
      </c>
    </row>
    <row r="67" spans="1:16" x14ac:dyDescent="0.25">
      <c r="A67" s="3" t="s">
        <v>30</v>
      </c>
      <c r="B67" s="3" t="s">
        <v>73</v>
      </c>
      <c r="C67">
        <v>16</v>
      </c>
      <c r="D67" s="3" t="s">
        <v>249</v>
      </c>
      <c r="E67" s="3" t="s">
        <v>182</v>
      </c>
      <c r="F67">
        <v>-16</v>
      </c>
      <c r="G67">
        <v>-1314.9760000000001</v>
      </c>
      <c r="H67">
        <v>2.2999999999999998</v>
      </c>
      <c r="I67">
        <v>0.5</v>
      </c>
      <c r="J67">
        <v>0</v>
      </c>
      <c r="K67">
        <v>-1315</v>
      </c>
      <c r="L67">
        <v>0</v>
      </c>
      <c r="M67">
        <v>0</v>
      </c>
      <c r="N67" s="3" t="s">
        <v>84</v>
      </c>
      <c r="O67">
        <v>300</v>
      </c>
      <c r="P67" s="3" t="s">
        <v>78</v>
      </c>
    </row>
    <row r="68" spans="1:16" x14ac:dyDescent="0.25">
      <c r="A68" s="3" t="s">
        <v>30</v>
      </c>
      <c r="B68" s="3" t="s">
        <v>73</v>
      </c>
      <c r="C68">
        <v>17</v>
      </c>
      <c r="D68" s="3" t="s">
        <v>250</v>
      </c>
      <c r="E68" s="3" t="s">
        <v>233</v>
      </c>
      <c r="F68">
        <v>-1200</v>
      </c>
      <c r="G68">
        <v>-1517.28</v>
      </c>
      <c r="H68">
        <v>2.8302999999999998</v>
      </c>
      <c r="I68">
        <v>0.01</v>
      </c>
      <c r="J68">
        <v>0</v>
      </c>
      <c r="K68">
        <v>-1517</v>
      </c>
      <c r="L68">
        <v>0</v>
      </c>
      <c r="M68">
        <v>0</v>
      </c>
      <c r="N68" s="3" t="s">
        <v>77</v>
      </c>
      <c r="O68">
        <v>410</v>
      </c>
      <c r="P68" s="3" t="s">
        <v>80</v>
      </c>
    </row>
    <row r="69" spans="1:16" x14ac:dyDescent="0.25">
      <c r="A69" s="3" t="s">
        <v>30</v>
      </c>
      <c r="B69" s="3" t="s">
        <v>73</v>
      </c>
      <c r="C69">
        <v>18</v>
      </c>
      <c r="D69" s="3" t="s">
        <v>251</v>
      </c>
      <c r="E69" s="3" t="s">
        <v>252</v>
      </c>
      <c r="F69">
        <v>-40</v>
      </c>
      <c r="G69">
        <v>-4804.7199000000001</v>
      </c>
      <c r="H69">
        <v>5.07</v>
      </c>
      <c r="I69">
        <v>0.9</v>
      </c>
      <c r="J69">
        <v>0</v>
      </c>
      <c r="K69">
        <v>-4805</v>
      </c>
      <c r="L69">
        <v>0</v>
      </c>
      <c r="M69">
        <v>0</v>
      </c>
      <c r="N69" s="3" t="s">
        <v>77</v>
      </c>
      <c r="O69">
        <v>200</v>
      </c>
      <c r="P69" s="3" t="s">
        <v>78</v>
      </c>
    </row>
    <row r="70" spans="1:16" x14ac:dyDescent="0.25">
      <c r="A70" s="3" t="s">
        <v>30</v>
      </c>
      <c r="B70" s="3" t="s">
        <v>73</v>
      </c>
      <c r="C70">
        <v>19</v>
      </c>
      <c r="D70" s="3" t="s">
        <v>253</v>
      </c>
      <c r="E70" s="3" t="s">
        <v>233</v>
      </c>
      <c r="F70">
        <v>-1000</v>
      </c>
      <c r="G70">
        <v>-121382.3973</v>
      </c>
      <c r="H70">
        <v>5.2012999999999998</v>
      </c>
      <c r="I70">
        <v>0.94</v>
      </c>
      <c r="J70">
        <v>-0.3</v>
      </c>
      <c r="K70">
        <v>-121382</v>
      </c>
      <c r="L70">
        <v>-0.3</v>
      </c>
      <c r="M70">
        <v>0</v>
      </c>
      <c r="N70" s="3" t="s">
        <v>77</v>
      </c>
      <c r="O70">
        <v>410</v>
      </c>
      <c r="P70" s="3" t="s">
        <v>78</v>
      </c>
    </row>
    <row r="71" spans="1:16" x14ac:dyDescent="0.25">
      <c r="A71" s="3" t="s">
        <v>30</v>
      </c>
      <c r="B71" s="3" t="s">
        <v>102</v>
      </c>
      <c r="C71">
        <v>1</v>
      </c>
      <c r="D71" s="3" t="s">
        <v>254</v>
      </c>
      <c r="E71" s="3" t="s">
        <v>255</v>
      </c>
      <c r="F71">
        <v>149358</v>
      </c>
      <c r="G71">
        <v>7470887.7981000002</v>
      </c>
      <c r="H71">
        <v>50.017899999999997</v>
      </c>
      <c r="I71">
        <v>50.020004</v>
      </c>
      <c r="J71">
        <v>17.399999999999999</v>
      </c>
      <c r="K71">
        <v>7470888</v>
      </c>
      <c r="L71">
        <v>17.399999999999999</v>
      </c>
      <c r="M71">
        <v>0.5</v>
      </c>
      <c r="N71" s="3" t="s">
        <v>34</v>
      </c>
      <c r="O71">
        <v>0</v>
      </c>
      <c r="P71" s="3" t="s">
        <v>35</v>
      </c>
    </row>
    <row r="72" spans="1:16" x14ac:dyDescent="0.25">
      <c r="A72" s="3" t="s">
        <v>30</v>
      </c>
      <c r="B72" s="3" t="s">
        <v>102</v>
      </c>
      <c r="C72">
        <v>2</v>
      </c>
      <c r="D72" s="3" t="s">
        <v>256</v>
      </c>
      <c r="E72" s="3" t="s">
        <v>257</v>
      </c>
      <c r="F72">
        <v>2812124.3</v>
      </c>
      <c r="G72">
        <v>2812124.27</v>
      </c>
      <c r="H72">
        <v>1</v>
      </c>
      <c r="I72">
        <v>0</v>
      </c>
      <c r="J72">
        <v>6.5</v>
      </c>
      <c r="K72">
        <v>2812124</v>
      </c>
      <c r="L72">
        <v>6.5</v>
      </c>
      <c r="M72">
        <v>0</v>
      </c>
      <c r="N72" s="3" t="s">
        <v>34</v>
      </c>
      <c r="O72">
        <v>0</v>
      </c>
      <c r="P72" s="3" t="s">
        <v>35</v>
      </c>
    </row>
    <row r="73" spans="1:16" x14ac:dyDescent="0.25">
      <c r="A73" s="3" t="s">
        <v>30</v>
      </c>
      <c r="B73" s="3" t="s">
        <v>102</v>
      </c>
      <c r="C73">
        <v>3</v>
      </c>
      <c r="D73" s="3" t="s">
        <v>258</v>
      </c>
      <c r="E73" s="3" t="s">
        <v>259</v>
      </c>
      <c r="F73">
        <v>1320159.2</v>
      </c>
      <c r="G73">
        <v>1669209.3430999999</v>
      </c>
      <c r="H73">
        <v>1</v>
      </c>
      <c r="I73">
        <v>0</v>
      </c>
      <c r="J73">
        <v>3.9</v>
      </c>
      <c r="K73">
        <v>1669209</v>
      </c>
      <c r="L73">
        <v>3.9</v>
      </c>
      <c r="M73">
        <v>0</v>
      </c>
      <c r="N73" s="3" t="s">
        <v>34</v>
      </c>
      <c r="O73">
        <v>0</v>
      </c>
      <c r="P73" s="3" t="s">
        <v>35</v>
      </c>
    </row>
    <row r="74" spans="1:16" x14ac:dyDescent="0.25">
      <c r="A74" s="3" t="s">
        <v>30</v>
      </c>
      <c r="B74" s="3" t="s">
        <v>102</v>
      </c>
      <c r="C74">
        <v>4</v>
      </c>
      <c r="D74" s="3" t="s">
        <v>260</v>
      </c>
      <c r="E74" s="3" t="s">
        <v>261</v>
      </c>
      <c r="F74">
        <v>20000000</v>
      </c>
      <c r="G74">
        <v>41299.638099999996</v>
      </c>
      <c r="H74">
        <v>1.04</v>
      </c>
      <c r="I74">
        <v>0.20649799999999999</v>
      </c>
      <c r="J74">
        <v>0.1</v>
      </c>
      <c r="K74">
        <v>41300</v>
      </c>
      <c r="L74">
        <v>0.1</v>
      </c>
      <c r="M74">
        <v>0</v>
      </c>
      <c r="N74" s="3" t="s">
        <v>34</v>
      </c>
      <c r="O74">
        <v>0</v>
      </c>
      <c r="P74" s="3" t="s">
        <v>35</v>
      </c>
    </row>
    <row r="75" spans="1:16" x14ac:dyDescent="0.25">
      <c r="A75" s="3" t="s">
        <v>30</v>
      </c>
      <c r="B75" s="3" t="s">
        <v>102</v>
      </c>
      <c r="C75">
        <v>5</v>
      </c>
      <c r="D75" s="3" t="s">
        <v>258</v>
      </c>
      <c r="E75" s="3" t="s">
        <v>259</v>
      </c>
      <c r="F75">
        <v>5742.6</v>
      </c>
      <c r="G75">
        <v>7260.9561000000003</v>
      </c>
      <c r="H75">
        <v>1</v>
      </c>
      <c r="I75">
        <v>0</v>
      </c>
      <c r="J75">
        <v>0</v>
      </c>
      <c r="K75">
        <v>7261</v>
      </c>
      <c r="L75">
        <v>0</v>
      </c>
      <c r="M75">
        <v>0</v>
      </c>
      <c r="N75" s="3" t="s">
        <v>34</v>
      </c>
      <c r="O75">
        <v>0</v>
      </c>
      <c r="P75" s="3" t="s">
        <v>35</v>
      </c>
    </row>
    <row r="76" spans="1:16" x14ac:dyDescent="0.25">
      <c r="A76" s="3" t="s">
        <v>30</v>
      </c>
      <c r="B76" s="3" t="s">
        <v>102</v>
      </c>
      <c r="C76">
        <v>6</v>
      </c>
      <c r="D76" s="3" t="s">
        <v>262</v>
      </c>
      <c r="E76" s="3" t="s">
        <v>106</v>
      </c>
      <c r="F76">
        <v>230294.39999999999</v>
      </c>
      <c r="G76">
        <v>0</v>
      </c>
      <c r="H76">
        <v>1.4870000000000001</v>
      </c>
      <c r="I76">
        <v>1.481976</v>
      </c>
      <c r="J76">
        <v>0</v>
      </c>
      <c r="K76">
        <v>0</v>
      </c>
      <c r="L76">
        <v>0</v>
      </c>
      <c r="M76">
        <v>0</v>
      </c>
      <c r="N76" s="3" t="s">
        <v>34</v>
      </c>
      <c r="O76">
        <v>0</v>
      </c>
      <c r="P76" s="3" t="s">
        <v>35</v>
      </c>
    </row>
    <row r="77" spans="1:16" x14ac:dyDescent="0.25">
      <c r="A77" s="3" t="s">
        <v>30</v>
      </c>
      <c r="B77" s="3" t="s">
        <v>102</v>
      </c>
      <c r="C77">
        <v>7</v>
      </c>
      <c r="D77" s="3" t="s">
        <v>262</v>
      </c>
      <c r="E77" s="3" t="s">
        <v>106</v>
      </c>
      <c r="F77">
        <v>-154875.29999999999</v>
      </c>
      <c r="G77">
        <v>0</v>
      </c>
      <c r="H77">
        <v>1.4870000000000001</v>
      </c>
      <c r="I77">
        <v>1.481976</v>
      </c>
      <c r="J77">
        <v>0</v>
      </c>
      <c r="K77">
        <v>0</v>
      </c>
      <c r="L77">
        <v>0</v>
      </c>
      <c r="M77">
        <v>0</v>
      </c>
      <c r="N77" s="3" t="s">
        <v>34</v>
      </c>
      <c r="O77">
        <v>0</v>
      </c>
      <c r="P77" s="3" t="s">
        <v>35</v>
      </c>
    </row>
    <row r="78" spans="1:16" x14ac:dyDescent="0.25">
      <c r="A78" s="3" t="s">
        <v>107</v>
      </c>
      <c r="B78" s="3" t="s">
        <v>31</v>
      </c>
      <c r="C78">
        <v>1</v>
      </c>
      <c r="D78" s="3" t="s">
        <v>160</v>
      </c>
      <c r="E78" s="3" t="s">
        <v>161</v>
      </c>
      <c r="F78">
        <v>142862</v>
      </c>
      <c r="G78">
        <v>2601139.7954000002</v>
      </c>
      <c r="H78">
        <v>12.2956</v>
      </c>
      <c r="I78">
        <v>14.4</v>
      </c>
      <c r="J78">
        <v>5.2</v>
      </c>
      <c r="K78">
        <v>2601140</v>
      </c>
      <c r="L78">
        <v>5.2</v>
      </c>
      <c r="M78">
        <v>0</v>
      </c>
      <c r="N78" s="3" t="s">
        <v>34</v>
      </c>
      <c r="O78">
        <v>0</v>
      </c>
      <c r="P78" s="3" t="s">
        <v>35</v>
      </c>
    </row>
    <row r="79" spans="1:16" x14ac:dyDescent="0.25">
      <c r="A79" s="3" t="s">
        <v>107</v>
      </c>
      <c r="B79" s="3" t="s">
        <v>31</v>
      </c>
      <c r="C79">
        <v>2</v>
      </c>
      <c r="D79" s="3" t="s">
        <v>263</v>
      </c>
      <c r="E79" s="3" t="s">
        <v>264</v>
      </c>
      <c r="F79">
        <v>34924</v>
      </c>
      <c r="G79">
        <v>2579263.4278000002</v>
      </c>
      <c r="H79">
        <v>52.882100000000001</v>
      </c>
      <c r="I79">
        <v>58.410004000000001</v>
      </c>
      <c r="J79">
        <v>5.0999999999999996</v>
      </c>
      <c r="K79">
        <v>2579263</v>
      </c>
      <c r="L79">
        <v>5.0999999999999996</v>
      </c>
      <c r="M79">
        <v>0</v>
      </c>
      <c r="N79" s="3" t="s">
        <v>34</v>
      </c>
      <c r="O79">
        <v>0</v>
      </c>
      <c r="P79" s="3" t="s">
        <v>35</v>
      </c>
    </row>
    <row r="80" spans="1:16" x14ac:dyDescent="0.25">
      <c r="A80" s="3" t="s">
        <v>107</v>
      </c>
      <c r="B80" s="3" t="s">
        <v>31</v>
      </c>
      <c r="C80">
        <v>3</v>
      </c>
      <c r="D80" s="3" t="s">
        <v>224</v>
      </c>
      <c r="E80" s="3" t="s">
        <v>225</v>
      </c>
      <c r="F80">
        <v>150054</v>
      </c>
      <c r="G80">
        <v>2578407.3215000001</v>
      </c>
      <c r="H80">
        <v>18.641100000000002</v>
      </c>
      <c r="I80">
        <v>13.59</v>
      </c>
      <c r="J80">
        <v>5.0999999999999996</v>
      </c>
      <c r="K80">
        <v>2578407</v>
      </c>
      <c r="L80">
        <v>5.0999999999999996</v>
      </c>
      <c r="M80">
        <v>0</v>
      </c>
      <c r="N80" s="3" t="s">
        <v>34</v>
      </c>
      <c r="O80">
        <v>0</v>
      </c>
      <c r="P80" s="3" t="s">
        <v>35</v>
      </c>
    </row>
    <row r="81" spans="1:16" x14ac:dyDescent="0.25">
      <c r="A81" s="3" t="s">
        <v>107</v>
      </c>
      <c r="B81" s="3" t="s">
        <v>31</v>
      </c>
      <c r="C81">
        <v>4</v>
      </c>
      <c r="D81" s="3" t="s">
        <v>265</v>
      </c>
      <c r="E81" s="3" t="s">
        <v>266</v>
      </c>
      <c r="F81">
        <v>37494</v>
      </c>
      <c r="G81">
        <v>2553693.1768</v>
      </c>
      <c r="H81">
        <v>53.3232</v>
      </c>
      <c r="I81">
        <v>49.800002999999997</v>
      </c>
      <c r="J81">
        <v>5.0999999999999996</v>
      </c>
      <c r="K81">
        <v>2553693</v>
      </c>
      <c r="L81">
        <v>5.0999999999999996</v>
      </c>
      <c r="M81">
        <v>0</v>
      </c>
      <c r="N81" s="3" t="s">
        <v>34</v>
      </c>
      <c r="O81">
        <v>0</v>
      </c>
      <c r="P81" s="3" t="s">
        <v>35</v>
      </c>
    </row>
    <row r="82" spans="1:16" x14ac:dyDescent="0.25">
      <c r="A82" s="3" t="s">
        <v>107</v>
      </c>
      <c r="B82" s="3" t="s">
        <v>31</v>
      </c>
      <c r="C82">
        <v>5</v>
      </c>
      <c r="D82" s="3" t="s">
        <v>142</v>
      </c>
      <c r="E82" s="3" t="s">
        <v>143</v>
      </c>
      <c r="F82">
        <v>28466</v>
      </c>
      <c r="G82">
        <v>2398797.6449000002</v>
      </c>
      <c r="H82">
        <v>58.067</v>
      </c>
      <c r="I82">
        <v>56.860000999999997</v>
      </c>
      <c r="J82">
        <v>4.8</v>
      </c>
      <c r="K82">
        <v>2398798</v>
      </c>
      <c r="L82">
        <v>4.8</v>
      </c>
      <c r="M82">
        <v>0</v>
      </c>
      <c r="N82" s="3" t="s">
        <v>34</v>
      </c>
      <c r="O82">
        <v>0</v>
      </c>
      <c r="P82" s="3" t="s">
        <v>35</v>
      </c>
    </row>
    <row r="83" spans="1:16" x14ac:dyDescent="0.25">
      <c r="A83" s="3" t="s">
        <v>107</v>
      </c>
      <c r="B83" s="3" t="s">
        <v>31</v>
      </c>
      <c r="C83">
        <v>6</v>
      </c>
      <c r="D83" s="3" t="s">
        <v>267</v>
      </c>
      <c r="E83" s="3" t="s">
        <v>268</v>
      </c>
      <c r="F83">
        <v>44935</v>
      </c>
      <c r="G83">
        <v>2362401.6502</v>
      </c>
      <c r="H83">
        <v>35.508600000000001</v>
      </c>
      <c r="I83">
        <v>41.570006999999997</v>
      </c>
      <c r="J83">
        <v>4.7</v>
      </c>
      <c r="K83">
        <v>2362402</v>
      </c>
      <c r="L83">
        <v>4.7</v>
      </c>
      <c r="M83">
        <v>0</v>
      </c>
      <c r="N83" s="3" t="s">
        <v>34</v>
      </c>
      <c r="O83">
        <v>0</v>
      </c>
      <c r="P83" s="3" t="s">
        <v>35</v>
      </c>
    </row>
    <row r="84" spans="1:16" x14ac:dyDescent="0.25">
      <c r="A84" s="3" t="s">
        <v>107</v>
      </c>
      <c r="B84" s="3" t="s">
        <v>31</v>
      </c>
      <c r="C84">
        <v>7</v>
      </c>
      <c r="D84" s="3" t="s">
        <v>269</v>
      </c>
      <c r="E84" s="3" t="s">
        <v>270</v>
      </c>
      <c r="F84">
        <v>94968</v>
      </c>
      <c r="G84">
        <v>2308241.7242000001</v>
      </c>
      <c r="H84">
        <v>15.846</v>
      </c>
      <c r="I84">
        <v>16.399994</v>
      </c>
      <c r="J84">
        <v>4.5999999999999996</v>
      </c>
      <c r="K84">
        <v>2308242</v>
      </c>
      <c r="L84">
        <v>4.5999999999999996</v>
      </c>
      <c r="M84">
        <v>0</v>
      </c>
      <c r="N84" s="3" t="s">
        <v>34</v>
      </c>
      <c r="O84">
        <v>0</v>
      </c>
      <c r="P84" s="3" t="s">
        <v>35</v>
      </c>
    </row>
    <row r="85" spans="1:16" x14ac:dyDescent="0.25">
      <c r="A85" s="3" t="s">
        <v>107</v>
      </c>
      <c r="B85" s="3" t="s">
        <v>31</v>
      </c>
      <c r="C85">
        <v>8</v>
      </c>
      <c r="D85" s="3" t="s">
        <v>203</v>
      </c>
      <c r="E85" s="3" t="s">
        <v>204</v>
      </c>
      <c r="F85">
        <v>377468</v>
      </c>
      <c r="G85">
        <v>2157263.0556999999</v>
      </c>
      <c r="H85">
        <v>13.5152</v>
      </c>
      <c r="I85">
        <v>4.5199999999999996</v>
      </c>
      <c r="J85">
        <v>4.3</v>
      </c>
      <c r="K85">
        <v>2157263</v>
      </c>
      <c r="L85">
        <v>4.3</v>
      </c>
      <c r="M85">
        <v>0</v>
      </c>
      <c r="N85" s="3" t="s">
        <v>34</v>
      </c>
      <c r="O85">
        <v>0</v>
      </c>
      <c r="P85" s="3" t="s">
        <v>35</v>
      </c>
    </row>
    <row r="86" spans="1:16" x14ac:dyDescent="0.25">
      <c r="A86" s="3" t="s">
        <v>107</v>
      </c>
      <c r="B86" s="3" t="s">
        <v>31</v>
      </c>
      <c r="C86">
        <v>9</v>
      </c>
      <c r="D86" s="3" t="s">
        <v>193</v>
      </c>
      <c r="E86" s="3" t="s">
        <v>194</v>
      </c>
      <c r="F86">
        <v>20257</v>
      </c>
      <c r="G86">
        <v>2107223.9531999999</v>
      </c>
      <c r="H86">
        <v>67.915800000000004</v>
      </c>
      <c r="I86">
        <v>70.190002000000007</v>
      </c>
      <c r="J86">
        <v>4.2</v>
      </c>
      <c r="K86">
        <v>2107224</v>
      </c>
      <c r="L86">
        <v>4.2</v>
      </c>
      <c r="M86">
        <v>0</v>
      </c>
      <c r="N86" s="3" t="s">
        <v>34</v>
      </c>
      <c r="O86">
        <v>0</v>
      </c>
      <c r="P86" s="3" t="s">
        <v>35</v>
      </c>
    </row>
    <row r="87" spans="1:16" x14ac:dyDescent="0.25">
      <c r="A87" s="3" t="s">
        <v>107</v>
      </c>
      <c r="B87" s="3" t="s">
        <v>31</v>
      </c>
      <c r="C87">
        <v>10</v>
      </c>
      <c r="D87" s="3" t="s">
        <v>271</v>
      </c>
      <c r="E87" s="3" t="s">
        <v>272</v>
      </c>
      <c r="F87">
        <v>100570</v>
      </c>
      <c r="G87">
        <v>2101966.3480000002</v>
      </c>
      <c r="H87">
        <v>20.078099999999999</v>
      </c>
      <c r="I87">
        <v>16.550003</v>
      </c>
      <c r="J87">
        <v>4.2</v>
      </c>
      <c r="K87">
        <v>2101966</v>
      </c>
      <c r="L87">
        <v>4.2</v>
      </c>
      <c r="M87">
        <v>0</v>
      </c>
      <c r="N87" s="3" t="s">
        <v>34</v>
      </c>
      <c r="O87">
        <v>0</v>
      </c>
      <c r="P87" s="3" t="s">
        <v>35</v>
      </c>
    </row>
    <row r="88" spans="1:16" x14ac:dyDescent="0.25">
      <c r="A88" s="3" t="s">
        <v>107</v>
      </c>
      <c r="B88" s="3" t="s">
        <v>31</v>
      </c>
      <c r="C88">
        <v>11</v>
      </c>
      <c r="D88" s="3" t="s">
        <v>222</v>
      </c>
      <c r="E88" s="3" t="s">
        <v>223</v>
      </c>
      <c r="F88">
        <v>45568</v>
      </c>
      <c r="G88">
        <v>2055723.6943000001</v>
      </c>
      <c r="H88">
        <v>31.488299999999999</v>
      </c>
      <c r="I88">
        <v>30.439986999999999</v>
      </c>
      <c r="J88">
        <v>4.0999999999999996</v>
      </c>
      <c r="K88">
        <v>2055724</v>
      </c>
      <c r="L88">
        <v>4.0999999999999996</v>
      </c>
      <c r="M88">
        <v>0</v>
      </c>
      <c r="N88" s="3" t="s">
        <v>34</v>
      </c>
      <c r="O88">
        <v>0</v>
      </c>
      <c r="P88" s="3" t="s">
        <v>35</v>
      </c>
    </row>
    <row r="89" spans="1:16" x14ac:dyDescent="0.25">
      <c r="A89" s="3" t="s">
        <v>107</v>
      </c>
      <c r="B89" s="3" t="s">
        <v>31</v>
      </c>
      <c r="C89">
        <v>12</v>
      </c>
      <c r="D89" s="3" t="s">
        <v>273</v>
      </c>
      <c r="E89" s="3" t="s">
        <v>274</v>
      </c>
      <c r="F89">
        <v>38396</v>
      </c>
      <c r="G89">
        <v>1995319.085</v>
      </c>
      <c r="H89">
        <v>42.25</v>
      </c>
      <c r="I89">
        <v>41.029998999999997</v>
      </c>
      <c r="J89">
        <v>4</v>
      </c>
      <c r="K89">
        <v>1995319</v>
      </c>
      <c r="L89">
        <v>4</v>
      </c>
      <c r="M89">
        <v>2.1</v>
      </c>
      <c r="N89" s="3" t="s">
        <v>34</v>
      </c>
      <c r="O89">
        <v>0</v>
      </c>
      <c r="P89" s="3" t="s">
        <v>35</v>
      </c>
    </row>
    <row r="90" spans="1:16" x14ac:dyDescent="0.25">
      <c r="A90" s="3" t="s">
        <v>107</v>
      </c>
      <c r="B90" s="3" t="s">
        <v>31</v>
      </c>
      <c r="C90">
        <v>13</v>
      </c>
      <c r="D90" s="3" t="s">
        <v>275</v>
      </c>
      <c r="E90" s="3" t="s">
        <v>276</v>
      </c>
      <c r="F90">
        <v>52936</v>
      </c>
      <c r="G90">
        <v>1986550.554</v>
      </c>
      <c r="H90">
        <v>28.6769</v>
      </c>
      <c r="I90">
        <v>29.680008000000001</v>
      </c>
      <c r="J90">
        <v>3.9</v>
      </c>
      <c r="K90">
        <v>1986551</v>
      </c>
      <c r="L90">
        <v>3.9</v>
      </c>
      <c r="M90">
        <v>0</v>
      </c>
      <c r="N90" s="3" t="s">
        <v>34</v>
      </c>
      <c r="O90">
        <v>0</v>
      </c>
      <c r="P90" s="3" t="s">
        <v>35</v>
      </c>
    </row>
    <row r="91" spans="1:16" x14ac:dyDescent="0.25">
      <c r="A91" s="3" t="s">
        <v>107</v>
      </c>
      <c r="B91" s="3" t="s">
        <v>31</v>
      </c>
      <c r="C91">
        <v>14</v>
      </c>
      <c r="D91" s="3" t="s">
        <v>277</v>
      </c>
      <c r="E91" s="3" t="s">
        <v>278</v>
      </c>
      <c r="F91">
        <v>204105</v>
      </c>
      <c r="G91">
        <v>1943208.8084</v>
      </c>
      <c r="H91">
        <v>6.1322999999999999</v>
      </c>
      <c r="I91">
        <v>6.4240000000000004</v>
      </c>
      <c r="J91">
        <v>3.9</v>
      </c>
      <c r="K91">
        <v>1943209</v>
      </c>
      <c r="L91">
        <v>3.9</v>
      </c>
      <c r="M91">
        <v>0</v>
      </c>
      <c r="N91" s="3" t="s">
        <v>34</v>
      </c>
      <c r="O91">
        <v>0</v>
      </c>
      <c r="P91" s="3" t="s">
        <v>35</v>
      </c>
    </row>
    <row r="92" spans="1:16" x14ac:dyDescent="0.25">
      <c r="A92" s="3" t="s">
        <v>107</v>
      </c>
      <c r="B92" s="3" t="s">
        <v>31</v>
      </c>
      <c r="C92">
        <v>15</v>
      </c>
      <c r="D92" s="3" t="s">
        <v>279</v>
      </c>
      <c r="E92" s="3" t="s">
        <v>280</v>
      </c>
      <c r="F92">
        <v>191603</v>
      </c>
      <c r="G92">
        <v>1938102.6655999999</v>
      </c>
      <c r="H92">
        <v>8.4899000000000004</v>
      </c>
      <c r="I92">
        <v>8</v>
      </c>
      <c r="J92">
        <v>3.8</v>
      </c>
      <c r="K92">
        <v>1938103</v>
      </c>
      <c r="L92">
        <v>3.8</v>
      </c>
      <c r="M92">
        <v>0</v>
      </c>
      <c r="N92" s="3" t="s">
        <v>34</v>
      </c>
      <c r="O92">
        <v>0</v>
      </c>
      <c r="P92" s="3" t="s">
        <v>35</v>
      </c>
    </row>
    <row r="93" spans="1:16" x14ac:dyDescent="0.25">
      <c r="A93" s="3" t="s">
        <v>107</v>
      </c>
      <c r="B93" s="3" t="s">
        <v>31</v>
      </c>
      <c r="C93">
        <v>16</v>
      </c>
      <c r="D93" s="3" t="s">
        <v>154</v>
      </c>
      <c r="E93" s="3" t="s">
        <v>155</v>
      </c>
      <c r="F93">
        <v>731374</v>
      </c>
      <c r="G93">
        <v>1934774.6597</v>
      </c>
      <c r="H93">
        <v>25.5517</v>
      </c>
      <c r="I93">
        <v>41.960006999999997</v>
      </c>
      <c r="J93">
        <v>3.8</v>
      </c>
      <c r="K93">
        <v>1934775</v>
      </c>
      <c r="L93">
        <v>3.8</v>
      </c>
      <c r="M93">
        <v>0</v>
      </c>
      <c r="N93" s="3" t="s">
        <v>34</v>
      </c>
      <c r="O93">
        <v>0</v>
      </c>
      <c r="P93" s="3" t="s">
        <v>35</v>
      </c>
    </row>
    <row r="94" spans="1:16" x14ac:dyDescent="0.25">
      <c r="A94" s="3" t="s">
        <v>107</v>
      </c>
      <c r="B94" s="3" t="s">
        <v>31</v>
      </c>
      <c r="C94">
        <v>17</v>
      </c>
      <c r="D94" s="3" t="s">
        <v>281</v>
      </c>
      <c r="E94" s="3" t="s">
        <v>282</v>
      </c>
      <c r="F94">
        <v>18330</v>
      </c>
      <c r="G94">
        <v>1842759.9249</v>
      </c>
      <c r="H94">
        <v>71.347700000000003</v>
      </c>
      <c r="I94">
        <v>79.510009999999994</v>
      </c>
      <c r="J94">
        <v>3.7</v>
      </c>
      <c r="K94">
        <v>1842760</v>
      </c>
      <c r="L94">
        <v>3.7</v>
      </c>
      <c r="M94">
        <v>0</v>
      </c>
      <c r="N94" s="3" t="s">
        <v>34</v>
      </c>
      <c r="O94">
        <v>0</v>
      </c>
      <c r="P94" s="3" t="s">
        <v>35</v>
      </c>
    </row>
    <row r="95" spans="1:16" x14ac:dyDescent="0.25">
      <c r="A95" s="3" t="s">
        <v>107</v>
      </c>
      <c r="B95" s="3" t="s">
        <v>31</v>
      </c>
      <c r="C95">
        <v>18</v>
      </c>
      <c r="D95" s="3" t="s">
        <v>283</v>
      </c>
      <c r="E95" s="3" t="s">
        <v>284</v>
      </c>
      <c r="F95">
        <v>688907</v>
      </c>
      <c r="G95">
        <v>1815264.4373000001</v>
      </c>
      <c r="H95">
        <v>143.63659999999999</v>
      </c>
      <c r="I95">
        <v>152.39999399999999</v>
      </c>
      <c r="J95">
        <v>3.6</v>
      </c>
      <c r="K95">
        <v>1815264</v>
      </c>
      <c r="L95">
        <v>3.6</v>
      </c>
      <c r="M95">
        <v>0</v>
      </c>
      <c r="N95" s="3" t="s">
        <v>34</v>
      </c>
      <c r="O95">
        <v>0</v>
      </c>
      <c r="P95" s="3" t="s">
        <v>35</v>
      </c>
    </row>
    <row r="96" spans="1:16" x14ac:dyDescent="0.25">
      <c r="A96" s="3" t="s">
        <v>107</v>
      </c>
      <c r="B96" s="3" t="s">
        <v>31</v>
      </c>
      <c r="C96">
        <v>19</v>
      </c>
      <c r="D96" s="3" t="s">
        <v>285</v>
      </c>
      <c r="E96" s="3" t="s">
        <v>286</v>
      </c>
      <c r="F96">
        <v>369508</v>
      </c>
      <c r="G96">
        <v>1769693.1375</v>
      </c>
      <c r="H96">
        <v>296.6003</v>
      </c>
      <c r="I96">
        <v>277</v>
      </c>
      <c r="J96">
        <v>3.5</v>
      </c>
      <c r="K96">
        <v>1769693</v>
      </c>
      <c r="L96">
        <v>3.5</v>
      </c>
      <c r="M96">
        <v>0</v>
      </c>
      <c r="N96" s="3" t="s">
        <v>34</v>
      </c>
      <c r="O96">
        <v>0</v>
      </c>
      <c r="P96" s="3" t="s">
        <v>35</v>
      </c>
    </row>
    <row r="97" spans="1:16" x14ac:dyDescent="0.25">
      <c r="A97" s="3" t="s">
        <v>107</v>
      </c>
      <c r="B97" s="3" t="s">
        <v>31</v>
      </c>
      <c r="C97">
        <v>20</v>
      </c>
      <c r="D97" s="3" t="s">
        <v>287</v>
      </c>
      <c r="E97" s="3" t="s">
        <v>288</v>
      </c>
      <c r="F97">
        <v>133587</v>
      </c>
      <c r="G97">
        <v>1733129.5756999999</v>
      </c>
      <c r="H97">
        <v>9.8834999999999997</v>
      </c>
      <c r="I97">
        <v>8.7539999999999996</v>
      </c>
      <c r="J97">
        <v>3.4</v>
      </c>
      <c r="K97">
        <v>1733130</v>
      </c>
      <c r="L97">
        <v>3.4</v>
      </c>
      <c r="M97">
        <v>0</v>
      </c>
      <c r="N97" s="3" t="s">
        <v>34</v>
      </c>
      <c r="O97">
        <v>0</v>
      </c>
      <c r="P97" s="3" t="s">
        <v>35</v>
      </c>
    </row>
    <row r="98" spans="1:16" x14ac:dyDescent="0.25">
      <c r="A98" s="3" t="s">
        <v>107</v>
      </c>
      <c r="B98" s="3" t="s">
        <v>31</v>
      </c>
      <c r="C98">
        <v>21</v>
      </c>
      <c r="D98" s="3" t="s">
        <v>195</v>
      </c>
      <c r="E98" s="3" t="s">
        <v>196</v>
      </c>
      <c r="F98">
        <v>9277</v>
      </c>
      <c r="G98">
        <v>1701765.0345999999</v>
      </c>
      <c r="H98">
        <v>201.29660000000001</v>
      </c>
      <c r="I98">
        <v>145.08000200000001</v>
      </c>
      <c r="J98">
        <v>3.4</v>
      </c>
      <c r="K98">
        <v>1701765</v>
      </c>
      <c r="L98">
        <v>3.4</v>
      </c>
      <c r="M98">
        <v>0</v>
      </c>
      <c r="N98" s="3" t="s">
        <v>34</v>
      </c>
      <c r="O98">
        <v>0</v>
      </c>
      <c r="P98" s="3" t="s">
        <v>35</v>
      </c>
    </row>
    <row r="99" spans="1:16" x14ac:dyDescent="0.25">
      <c r="A99" s="3" t="s">
        <v>107</v>
      </c>
      <c r="B99" s="3" t="s">
        <v>31</v>
      </c>
      <c r="C99">
        <v>22</v>
      </c>
      <c r="D99" s="3" t="s">
        <v>289</v>
      </c>
      <c r="E99" s="3" t="s">
        <v>290</v>
      </c>
      <c r="F99">
        <v>107729</v>
      </c>
      <c r="G99">
        <v>1661793.0547</v>
      </c>
      <c r="H99">
        <v>12.442600000000001</v>
      </c>
      <c r="I99">
        <v>12.19</v>
      </c>
      <c r="J99">
        <v>3.3</v>
      </c>
      <c r="K99">
        <v>1661793</v>
      </c>
      <c r="L99">
        <v>3.3</v>
      </c>
      <c r="M99">
        <v>0</v>
      </c>
      <c r="N99" s="3" t="s">
        <v>34</v>
      </c>
      <c r="O99">
        <v>0</v>
      </c>
      <c r="P99" s="3" t="s">
        <v>35</v>
      </c>
    </row>
    <row r="100" spans="1:16" x14ac:dyDescent="0.25">
      <c r="A100" s="3" t="s">
        <v>107</v>
      </c>
      <c r="B100" s="3" t="s">
        <v>31</v>
      </c>
      <c r="C100">
        <v>23</v>
      </c>
      <c r="D100" s="3" t="s">
        <v>291</v>
      </c>
      <c r="E100" s="3" t="s">
        <v>292</v>
      </c>
      <c r="F100">
        <v>2881500</v>
      </c>
      <c r="G100">
        <v>1644599.6947000001</v>
      </c>
      <c r="H100">
        <v>3.9889000000000001</v>
      </c>
      <c r="I100">
        <v>2.41</v>
      </c>
      <c r="J100">
        <v>3.3</v>
      </c>
      <c r="K100">
        <v>1644600</v>
      </c>
      <c r="L100">
        <v>3.3</v>
      </c>
      <c r="M100">
        <v>0.2</v>
      </c>
      <c r="N100" s="3" t="s">
        <v>34</v>
      </c>
      <c r="O100">
        <v>0</v>
      </c>
      <c r="P100" s="3" t="s">
        <v>35</v>
      </c>
    </row>
    <row r="101" spans="1:16" x14ac:dyDescent="0.25">
      <c r="A101" s="3" t="s">
        <v>107</v>
      </c>
      <c r="B101" s="3" t="s">
        <v>31</v>
      </c>
      <c r="C101">
        <v>24</v>
      </c>
      <c r="D101" s="3" t="s">
        <v>293</v>
      </c>
      <c r="E101" s="3" t="s">
        <v>175</v>
      </c>
      <c r="F101">
        <v>21320</v>
      </c>
      <c r="G101">
        <v>1570784.9713000001</v>
      </c>
      <c r="H101">
        <v>57.803100000000001</v>
      </c>
      <c r="I101">
        <v>58.270004</v>
      </c>
      <c r="J101">
        <v>3.1</v>
      </c>
      <c r="K101">
        <v>1570785</v>
      </c>
      <c r="L101">
        <v>3.1</v>
      </c>
      <c r="M101">
        <v>0.4</v>
      </c>
      <c r="N101" s="3" t="s">
        <v>34</v>
      </c>
      <c r="O101">
        <v>0</v>
      </c>
      <c r="P101" s="3" t="s">
        <v>35</v>
      </c>
    </row>
    <row r="102" spans="1:16" x14ac:dyDescent="0.25">
      <c r="A102" s="3" t="s">
        <v>107</v>
      </c>
      <c r="B102" s="3" t="s">
        <v>31</v>
      </c>
      <c r="C102">
        <v>25</v>
      </c>
      <c r="D102" s="3" t="s">
        <v>209</v>
      </c>
      <c r="E102" s="3" t="s">
        <v>210</v>
      </c>
      <c r="F102">
        <v>632447</v>
      </c>
      <c r="G102">
        <v>1495375.3038000001</v>
      </c>
      <c r="H102">
        <v>4.5278999999999998</v>
      </c>
      <c r="I102">
        <v>1.87</v>
      </c>
      <c r="J102">
        <v>3</v>
      </c>
      <c r="K102">
        <v>1495375</v>
      </c>
      <c r="L102">
        <v>3</v>
      </c>
      <c r="M102">
        <v>0</v>
      </c>
      <c r="N102" s="3" t="s">
        <v>34</v>
      </c>
      <c r="O102">
        <v>0</v>
      </c>
      <c r="P102" s="3" t="s">
        <v>35</v>
      </c>
    </row>
    <row r="103" spans="1:16" x14ac:dyDescent="0.25">
      <c r="A103" s="3" t="s">
        <v>107</v>
      </c>
      <c r="B103" s="3" t="s">
        <v>31</v>
      </c>
      <c r="C103">
        <v>26</v>
      </c>
      <c r="D103" s="3" t="s">
        <v>294</v>
      </c>
      <c r="E103" s="3" t="s">
        <v>295</v>
      </c>
      <c r="F103">
        <v>272591</v>
      </c>
      <c r="G103">
        <v>1402782.9493</v>
      </c>
      <c r="H103">
        <v>6.0018000000000002</v>
      </c>
      <c r="I103">
        <v>4.0599999999999996</v>
      </c>
      <c r="J103">
        <v>2.8</v>
      </c>
      <c r="K103">
        <v>1402783</v>
      </c>
      <c r="L103">
        <v>2.8</v>
      </c>
      <c r="M103">
        <v>0</v>
      </c>
      <c r="N103" s="3" t="s">
        <v>34</v>
      </c>
      <c r="O103">
        <v>0</v>
      </c>
      <c r="P103" s="3" t="s">
        <v>35</v>
      </c>
    </row>
    <row r="104" spans="1:16" x14ac:dyDescent="0.25">
      <c r="A104" s="3" t="s">
        <v>107</v>
      </c>
      <c r="B104" s="3" t="s">
        <v>31</v>
      </c>
      <c r="C104">
        <v>27</v>
      </c>
      <c r="D104" s="3" t="s">
        <v>150</v>
      </c>
      <c r="E104" s="3" t="s">
        <v>151</v>
      </c>
      <c r="F104">
        <v>6255</v>
      </c>
      <c r="G104">
        <v>1307557.2789</v>
      </c>
      <c r="H104">
        <v>140.64340000000001</v>
      </c>
      <c r="I104">
        <v>141.050003</v>
      </c>
      <c r="J104">
        <v>2.6</v>
      </c>
      <c r="K104">
        <v>1307557</v>
      </c>
      <c r="L104">
        <v>2.6</v>
      </c>
      <c r="M104">
        <v>0</v>
      </c>
      <c r="N104" s="3" t="s">
        <v>34</v>
      </c>
      <c r="O104">
        <v>0</v>
      </c>
      <c r="P104" s="3" t="s">
        <v>35</v>
      </c>
    </row>
    <row r="105" spans="1:16" x14ac:dyDescent="0.25">
      <c r="A105" s="3" t="s">
        <v>107</v>
      </c>
      <c r="B105" s="3" t="s">
        <v>31</v>
      </c>
      <c r="C105">
        <v>28</v>
      </c>
      <c r="D105" s="3" t="s">
        <v>296</v>
      </c>
      <c r="E105" s="3" t="s">
        <v>297</v>
      </c>
      <c r="F105">
        <v>127048</v>
      </c>
      <c r="G105">
        <v>1300709.9723</v>
      </c>
      <c r="H105">
        <v>5.4991000000000003</v>
      </c>
      <c r="I105">
        <v>6.9080000000000004</v>
      </c>
      <c r="J105">
        <v>2.6</v>
      </c>
      <c r="K105">
        <v>1300710</v>
      </c>
      <c r="L105">
        <v>2.6</v>
      </c>
      <c r="M105">
        <v>0</v>
      </c>
      <c r="N105" s="3" t="s">
        <v>34</v>
      </c>
      <c r="O105">
        <v>0</v>
      </c>
      <c r="P105" s="3" t="s">
        <v>35</v>
      </c>
    </row>
    <row r="106" spans="1:16" x14ac:dyDescent="0.25">
      <c r="A106" s="3" t="s">
        <v>107</v>
      </c>
      <c r="B106" s="3" t="s">
        <v>31</v>
      </c>
      <c r="C106">
        <v>29</v>
      </c>
      <c r="D106" s="3" t="s">
        <v>148</v>
      </c>
      <c r="E106" s="3" t="s">
        <v>149</v>
      </c>
      <c r="F106">
        <v>4247</v>
      </c>
      <c r="G106">
        <v>1246257.4284999999</v>
      </c>
      <c r="H106">
        <v>198.47450000000001</v>
      </c>
      <c r="I106">
        <v>198</v>
      </c>
      <c r="J106">
        <v>2.5</v>
      </c>
      <c r="K106">
        <v>1246257</v>
      </c>
      <c r="L106">
        <v>2.5</v>
      </c>
      <c r="M106">
        <v>0.6</v>
      </c>
      <c r="N106" s="3" t="s">
        <v>34</v>
      </c>
      <c r="O106">
        <v>0</v>
      </c>
      <c r="P106" s="3" t="s">
        <v>35</v>
      </c>
    </row>
    <row r="107" spans="1:16" x14ac:dyDescent="0.25">
      <c r="A107" s="3" t="s">
        <v>107</v>
      </c>
      <c r="B107" s="3" t="s">
        <v>31</v>
      </c>
      <c r="C107">
        <v>30</v>
      </c>
      <c r="D107" s="3" t="s">
        <v>213</v>
      </c>
      <c r="E107" s="3" t="s">
        <v>210</v>
      </c>
      <c r="F107">
        <v>509900</v>
      </c>
      <c r="G107">
        <v>1215667.0149000001</v>
      </c>
      <c r="H107">
        <v>17.440999999999999</v>
      </c>
      <c r="I107">
        <v>14.68</v>
      </c>
      <c r="J107">
        <v>2.4</v>
      </c>
      <c r="K107">
        <v>1215667</v>
      </c>
      <c r="L107">
        <v>2.4</v>
      </c>
      <c r="M107">
        <v>0</v>
      </c>
      <c r="N107" s="3" t="s">
        <v>34</v>
      </c>
      <c r="O107">
        <v>0</v>
      </c>
      <c r="P107" s="3" t="s">
        <v>35</v>
      </c>
    </row>
    <row r="108" spans="1:16" x14ac:dyDescent="0.25">
      <c r="A108" s="3" t="s">
        <v>107</v>
      </c>
      <c r="B108" s="3" t="s">
        <v>31</v>
      </c>
      <c r="C108">
        <v>31</v>
      </c>
      <c r="D108" s="3" t="s">
        <v>298</v>
      </c>
      <c r="E108" s="3" t="s">
        <v>299</v>
      </c>
      <c r="F108">
        <v>1081</v>
      </c>
      <c r="G108">
        <v>140022.36379999999</v>
      </c>
      <c r="H108">
        <v>58.993000000000002</v>
      </c>
      <c r="I108">
        <v>87.399994000000007</v>
      </c>
      <c r="J108">
        <v>0.3</v>
      </c>
      <c r="K108">
        <v>140022</v>
      </c>
      <c r="L108">
        <v>0.3</v>
      </c>
      <c r="M108">
        <v>0.1</v>
      </c>
      <c r="N108" s="3" t="s">
        <v>34</v>
      </c>
      <c r="O108">
        <v>0</v>
      </c>
      <c r="P108" s="3" t="s">
        <v>35</v>
      </c>
    </row>
    <row r="109" spans="1:16" x14ac:dyDescent="0.25">
      <c r="A109" s="3" t="s">
        <v>107</v>
      </c>
      <c r="B109" s="3" t="s">
        <v>31</v>
      </c>
      <c r="C109">
        <v>32</v>
      </c>
      <c r="D109" s="3" t="s">
        <v>300</v>
      </c>
      <c r="E109" s="3" t="s">
        <v>301</v>
      </c>
      <c r="F109">
        <v>440000</v>
      </c>
      <c r="G109">
        <v>72173.489799999996</v>
      </c>
      <c r="H109">
        <v>1.1778999999999999</v>
      </c>
      <c r="I109">
        <v>1.01</v>
      </c>
      <c r="J109">
        <v>0.1</v>
      </c>
      <c r="K109">
        <v>72173</v>
      </c>
      <c r="L109">
        <v>0.1</v>
      </c>
      <c r="M109">
        <v>2.6</v>
      </c>
      <c r="N109" s="3" t="s">
        <v>34</v>
      </c>
      <c r="O109">
        <v>0</v>
      </c>
      <c r="P109" s="3" t="s">
        <v>35</v>
      </c>
    </row>
    <row r="110" spans="1:16" x14ac:dyDescent="0.25">
      <c r="A110" s="3" t="s">
        <v>107</v>
      </c>
      <c r="B110" s="3" t="s">
        <v>73</v>
      </c>
      <c r="C110">
        <v>1</v>
      </c>
      <c r="D110" s="3" t="s">
        <v>232</v>
      </c>
      <c r="E110" s="3" t="s">
        <v>233</v>
      </c>
      <c r="F110">
        <v>3000</v>
      </c>
      <c r="G110">
        <v>1608316.7132000001</v>
      </c>
      <c r="H110">
        <v>5.4710000000000001</v>
      </c>
      <c r="I110">
        <v>4.24</v>
      </c>
      <c r="J110">
        <v>3.2</v>
      </c>
      <c r="K110">
        <v>1608317</v>
      </c>
      <c r="L110">
        <v>3.2</v>
      </c>
      <c r="M110">
        <v>0</v>
      </c>
      <c r="N110" s="3" t="s">
        <v>77</v>
      </c>
      <c r="O110">
        <v>440</v>
      </c>
      <c r="P110" s="3" t="s">
        <v>78</v>
      </c>
    </row>
    <row r="111" spans="1:16" x14ac:dyDescent="0.25">
      <c r="A111" s="3" t="s">
        <v>107</v>
      </c>
      <c r="B111" s="3" t="s">
        <v>73</v>
      </c>
      <c r="C111">
        <v>2</v>
      </c>
      <c r="D111" s="3" t="s">
        <v>302</v>
      </c>
      <c r="E111" s="3" t="s">
        <v>303</v>
      </c>
      <c r="F111">
        <v>400</v>
      </c>
      <c r="G111">
        <v>356560.80959999998</v>
      </c>
      <c r="H111">
        <v>7.7</v>
      </c>
      <c r="I111">
        <v>7.05</v>
      </c>
      <c r="J111">
        <v>0.7</v>
      </c>
      <c r="K111">
        <v>356561</v>
      </c>
      <c r="L111">
        <v>0.7</v>
      </c>
      <c r="M111">
        <v>0</v>
      </c>
      <c r="N111" s="3" t="s">
        <v>84</v>
      </c>
      <c r="O111">
        <v>170</v>
      </c>
      <c r="P111" s="3" t="s">
        <v>115</v>
      </c>
    </row>
    <row r="112" spans="1:16" x14ac:dyDescent="0.25">
      <c r="A112" s="3" t="s">
        <v>107</v>
      </c>
      <c r="B112" s="3" t="s">
        <v>73</v>
      </c>
      <c r="C112">
        <v>3</v>
      </c>
      <c r="D112" s="3" t="s">
        <v>304</v>
      </c>
      <c r="E112" s="3" t="s">
        <v>196</v>
      </c>
      <c r="F112">
        <v>500</v>
      </c>
      <c r="G112">
        <v>195982.02410000001</v>
      </c>
      <c r="H112">
        <v>13.41</v>
      </c>
      <c r="I112">
        <v>3.1</v>
      </c>
      <c r="J112">
        <v>0.4</v>
      </c>
      <c r="K112">
        <v>195982</v>
      </c>
      <c r="L112">
        <v>0.4</v>
      </c>
      <c r="M112">
        <v>0</v>
      </c>
      <c r="N112" s="3" t="s">
        <v>84</v>
      </c>
      <c r="O112">
        <v>180</v>
      </c>
      <c r="P112" s="3" t="s">
        <v>115</v>
      </c>
    </row>
    <row r="113" spans="1:16" x14ac:dyDescent="0.25">
      <c r="A113" s="3" t="s">
        <v>107</v>
      </c>
      <c r="B113" s="3" t="s">
        <v>73</v>
      </c>
      <c r="C113">
        <v>4</v>
      </c>
      <c r="D113" s="3" t="s">
        <v>305</v>
      </c>
      <c r="E113" s="3" t="s">
        <v>306</v>
      </c>
      <c r="F113">
        <v>200</v>
      </c>
      <c r="G113">
        <v>122646.80959999999</v>
      </c>
      <c r="H113">
        <v>3.5396000000000001</v>
      </c>
      <c r="I113">
        <v>4.8499999999999996</v>
      </c>
      <c r="J113">
        <v>0.2</v>
      </c>
      <c r="K113">
        <v>122647</v>
      </c>
      <c r="L113">
        <v>0.2</v>
      </c>
      <c r="M113">
        <v>0</v>
      </c>
      <c r="N113" s="3" t="s">
        <v>77</v>
      </c>
      <c r="O113">
        <v>70</v>
      </c>
      <c r="P113" s="3" t="s">
        <v>119</v>
      </c>
    </row>
    <row r="114" spans="1:16" x14ac:dyDescent="0.25">
      <c r="A114" s="3" t="s">
        <v>107</v>
      </c>
      <c r="B114" s="3" t="s">
        <v>73</v>
      </c>
      <c r="C114">
        <v>5</v>
      </c>
      <c r="D114" s="3" t="s">
        <v>307</v>
      </c>
      <c r="E114" s="3" t="s">
        <v>272</v>
      </c>
      <c r="F114">
        <v>750</v>
      </c>
      <c r="G114">
        <v>66380.998900000006</v>
      </c>
      <c r="H114">
        <v>1.35</v>
      </c>
      <c r="I114">
        <v>0.7</v>
      </c>
      <c r="J114">
        <v>0.1</v>
      </c>
      <c r="K114">
        <v>66381</v>
      </c>
      <c r="L114">
        <v>0.1</v>
      </c>
      <c r="M114">
        <v>0</v>
      </c>
      <c r="N114" s="3" t="s">
        <v>77</v>
      </c>
      <c r="O114">
        <v>15</v>
      </c>
      <c r="P114" s="3" t="s">
        <v>78</v>
      </c>
    </row>
    <row r="115" spans="1:16" x14ac:dyDescent="0.25">
      <c r="A115" s="3" t="s">
        <v>107</v>
      </c>
      <c r="B115" s="3" t="s">
        <v>73</v>
      </c>
      <c r="C115">
        <v>6</v>
      </c>
      <c r="D115" s="3" t="s">
        <v>308</v>
      </c>
      <c r="E115" s="3" t="s">
        <v>204</v>
      </c>
      <c r="F115">
        <v>5100</v>
      </c>
      <c r="G115">
        <v>32242.2</v>
      </c>
      <c r="H115">
        <v>1.9619</v>
      </c>
      <c r="I115">
        <v>0.05</v>
      </c>
      <c r="J115">
        <v>0.1</v>
      </c>
      <c r="K115">
        <v>32242</v>
      </c>
      <c r="L115">
        <v>0.1</v>
      </c>
      <c r="M115">
        <v>0</v>
      </c>
      <c r="N115" s="3" t="s">
        <v>84</v>
      </c>
      <c r="O115">
        <v>32.5</v>
      </c>
      <c r="P115" s="3" t="s">
        <v>122</v>
      </c>
    </row>
    <row r="116" spans="1:16" x14ac:dyDescent="0.25">
      <c r="A116" s="3" t="s">
        <v>107</v>
      </c>
      <c r="B116" s="3" t="s">
        <v>73</v>
      </c>
      <c r="C116">
        <v>7</v>
      </c>
      <c r="D116" s="3" t="s">
        <v>234</v>
      </c>
      <c r="E116" s="3" t="s">
        <v>233</v>
      </c>
      <c r="F116">
        <v>3000</v>
      </c>
      <c r="G116">
        <v>30345.599999999999</v>
      </c>
      <c r="H116">
        <v>6.0627000000000004</v>
      </c>
      <c r="I116">
        <v>0.08</v>
      </c>
      <c r="J116">
        <v>0.1</v>
      </c>
      <c r="K116">
        <v>30346</v>
      </c>
      <c r="L116">
        <v>0.1</v>
      </c>
      <c r="M116">
        <v>0</v>
      </c>
      <c r="N116" s="3" t="s">
        <v>77</v>
      </c>
      <c r="O116">
        <v>430</v>
      </c>
      <c r="P116" s="3" t="s">
        <v>80</v>
      </c>
    </row>
    <row r="117" spans="1:16" x14ac:dyDescent="0.25">
      <c r="A117" s="3" t="s">
        <v>107</v>
      </c>
      <c r="B117" s="3" t="s">
        <v>73</v>
      </c>
      <c r="C117">
        <v>8</v>
      </c>
      <c r="D117" s="3" t="s">
        <v>235</v>
      </c>
      <c r="E117" s="3" t="s">
        <v>233</v>
      </c>
      <c r="F117">
        <v>1000</v>
      </c>
      <c r="G117">
        <v>3793.2</v>
      </c>
      <c r="H117">
        <v>4.7324999999999999</v>
      </c>
      <c r="I117">
        <v>0.03</v>
      </c>
      <c r="J117">
        <v>0</v>
      </c>
      <c r="K117">
        <v>3793</v>
      </c>
      <c r="L117">
        <v>0</v>
      </c>
      <c r="M117">
        <v>0</v>
      </c>
      <c r="N117" s="3" t="s">
        <v>77</v>
      </c>
      <c r="O117">
        <v>425</v>
      </c>
      <c r="P117" s="3" t="s">
        <v>82</v>
      </c>
    </row>
    <row r="118" spans="1:16" x14ac:dyDescent="0.25">
      <c r="A118" s="3" t="s">
        <v>107</v>
      </c>
      <c r="B118" s="3" t="s">
        <v>73</v>
      </c>
      <c r="C118">
        <v>9</v>
      </c>
      <c r="D118" s="3" t="s">
        <v>309</v>
      </c>
      <c r="E118" s="3" t="s">
        <v>196</v>
      </c>
      <c r="F118">
        <v>280</v>
      </c>
      <c r="G118">
        <v>354.03199999999998</v>
      </c>
      <c r="H118">
        <v>6.5472999999999999</v>
      </c>
      <c r="I118">
        <v>0.01</v>
      </c>
      <c r="J118">
        <v>0</v>
      </c>
      <c r="K118">
        <v>354</v>
      </c>
      <c r="L118">
        <v>0</v>
      </c>
      <c r="M118">
        <v>0</v>
      </c>
      <c r="N118" s="3" t="s">
        <v>84</v>
      </c>
      <c r="O118">
        <v>230</v>
      </c>
      <c r="P118" s="3" t="s">
        <v>80</v>
      </c>
    </row>
    <row r="119" spans="1:16" x14ac:dyDescent="0.25">
      <c r="A119" s="3" t="s">
        <v>107</v>
      </c>
      <c r="B119" s="3" t="s">
        <v>73</v>
      </c>
      <c r="C119">
        <v>10</v>
      </c>
      <c r="D119" s="3" t="s">
        <v>310</v>
      </c>
      <c r="E119" s="3" t="s">
        <v>196</v>
      </c>
      <c r="F119">
        <v>-140</v>
      </c>
      <c r="G119">
        <v>-177.01599999999999</v>
      </c>
      <c r="H119">
        <v>13</v>
      </c>
      <c r="I119">
        <v>0.01</v>
      </c>
      <c r="J119">
        <v>0</v>
      </c>
      <c r="K119">
        <v>-177</v>
      </c>
      <c r="L119">
        <v>0</v>
      </c>
      <c r="M119">
        <v>0</v>
      </c>
      <c r="N119" s="3" t="s">
        <v>84</v>
      </c>
      <c r="O119">
        <v>225</v>
      </c>
      <c r="P119" s="3" t="s">
        <v>80</v>
      </c>
    </row>
    <row r="120" spans="1:16" x14ac:dyDescent="0.25">
      <c r="A120" s="3" t="s">
        <v>107</v>
      </c>
      <c r="B120" s="3" t="s">
        <v>73</v>
      </c>
      <c r="C120">
        <v>11</v>
      </c>
      <c r="D120" s="3" t="s">
        <v>248</v>
      </c>
      <c r="E120" s="3" t="s">
        <v>233</v>
      </c>
      <c r="F120">
        <v>-1000</v>
      </c>
      <c r="G120">
        <v>-1264.4000000000001</v>
      </c>
      <c r="H120">
        <v>1.923</v>
      </c>
      <c r="I120">
        <v>0.01</v>
      </c>
      <c r="J120">
        <v>0</v>
      </c>
      <c r="K120">
        <v>-1264</v>
      </c>
      <c r="L120">
        <v>0</v>
      </c>
      <c r="M120">
        <v>0</v>
      </c>
      <c r="N120" s="3" t="s">
        <v>77</v>
      </c>
      <c r="O120">
        <v>400</v>
      </c>
      <c r="P120" s="3" t="s">
        <v>82</v>
      </c>
    </row>
    <row r="121" spans="1:16" x14ac:dyDescent="0.25">
      <c r="A121" s="3" t="s">
        <v>107</v>
      </c>
      <c r="B121" s="3" t="s">
        <v>73</v>
      </c>
      <c r="C121">
        <v>12</v>
      </c>
      <c r="D121" s="3" t="s">
        <v>250</v>
      </c>
      <c r="E121" s="3" t="s">
        <v>233</v>
      </c>
      <c r="F121">
        <v>-3000</v>
      </c>
      <c r="G121">
        <v>-3793.2</v>
      </c>
      <c r="H121">
        <v>3.1993999999999998</v>
      </c>
      <c r="I121">
        <v>0.01</v>
      </c>
      <c r="J121">
        <v>0</v>
      </c>
      <c r="K121">
        <v>-3793</v>
      </c>
      <c r="L121">
        <v>0</v>
      </c>
      <c r="M121">
        <v>0</v>
      </c>
      <c r="N121" s="3" t="s">
        <v>77</v>
      </c>
      <c r="O121">
        <v>410</v>
      </c>
      <c r="P121" s="3" t="s">
        <v>80</v>
      </c>
    </row>
    <row r="122" spans="1:16" x14ac:dyDescent="0.25">
      <c r="A122" s="3" t="s">
        <v>107</v>
      </c>
      <c r="B122" s="3" t="s">
        <v>73</v>
      </c>
      <c r="C122">
        <v>13</v>
      </c>
      <c r="D122" s="3" t="s">
        <v>311</v>
      </c>
      <c r="E122" s="3" t="s">
        <v>306</v>
      </c>
      <c r="F122">
        <v>-200</v>
      </c>
      <c r="G122">
        <v>-40460.809600000001</v>
      </c>
      <c r="H122">
        <v>0.84009999999999996</v>
      </c>
      <c r="I122">
        <v>1.45</v>
      </c>
      <c r="J122">
        <v>-0.1</v>
      </c>
      <c r="K122">
        <v>-40461</v>
      </c>
      <c r="L122">
        <v>-0.1</v>
      </c>
      <c r="M122">
        <v>0</v>
      </c>
      <c r="N122" s="3" t="s">
        <v>77</v>
      </c>
      <c r="O122">
        <v>50</v>
      </c>
      <c r="P122" s="3" t="s">
        <v>119</v>
      </c>
    </row>
    <row r="123" spans="1:16" x14ac:dyDescent="0.25">
      <c r="A123" s="3" t="s">
        <v>107</v>
      </c>
      <c r="B123" s="3" t="s">
        <v>73</v>
      </c>
      <c r="C123">
        <v>14</v>
      </c>
      <c r="D123" s="3" t="s">
        <v>253</v>
      </c>
      <c r="E123" s="3" t="s">
        <v>233</v>
      </c>
      <c r="F123">
        <v>-3000</v>
      </c>
      <c r="G123">
        <v>-364147.19189999998</v>
      </c>
      <c r="H123">
        <v>5.2012999999999998</v>
      </c>
      <c r="I123">
        <v>0.94</v>
      </c>
      <c r="J123">
        <v>-0.7</v>
      </c>
      <c r="K123">
        <v>-364147</v>
      </c>
      <c r="L123">
        <v>-0.7</v>
      </c>
      <c r="M123">
        <v>0</v>
      </c>
      <c r="N123" s="3" t="s">
        <v>77</v>
      </c>
      <c r="O123">
        <v>410</v>
      </c>
      <c r="P123" s="3" t="s">
        <v>78</v>
      </c>
    </row>
    <row r="124" spans="1:16" x14ac:dyDescent="0.25">
      <c r="A124" s="3" t="s">
        <v>107</v>
      </c>
      <c r="B124" s="3" t="s">
        <v>102</v>
      </c>
      <c r="C124">
        <v>1</v>
      </c>
      <c r="D124" s="3" t="s">
        <v>260</v>
      </c>
      <c r="E124" s="3" t="s">
        <v>261</v>
      </c>
      <c r="F124">
        <v>70000000</v>
      </c>
      <c r="G124">
        <v>144548.73329999999</v>
      </c>
      <c r="H124">
        <v>1.04</v>
      </c>
      <c r="I124">
        <v>0.20649799999999999</v>
      </c>
      <c r="J124">
        <v>0.3</v>
      </c>
      <c r="K124">
        <v>144549</v>
      </c>
      <c r="L124">
        <v>0.3</v>
      </c>
      <c r="M124">
        <v>0</v>
      </c>
      <c r="N124" s="3" t="s">
        <v>34</v>
      </c>
      <c r="O124">
        <v>0</v>
      </c>
      <c r="P124" s="3" t="s">
        <v>35</v>
      </c>
    </row>
    <row r="125" spans="1:16" x14ac:dyDescent="0.25">
      <c r="A125" s="3" t="s">
        <v>107</v>
      </c>
      <c r="B125" s="3" t="s">
        <v>102</v>
      </c>
      <c r="C125">
        <v>2</v>
      </c>
      <c r="D125" s="3" t="s">
        <v>258</v>
      </c>
      <c r="E125" s="3" t="s">
        <v>259</v>
      </c>
      <c r="F125">
        <v>-334288</v>
      </c>
      <c r="G125">
        <v>-422673.94949999999</v>
      </c>
      <c r="H125">
        <v>1</v>
      </c>
      <c r="I125">
        <v>0</v>
      </c>
      <c r="J125">
        <v>-0.8</v>
      </c>
      <c r="K125">
        <v>-422674</v>
      </c>
      <c r="L125">
        <v>-0.8</v>
      </c>
      <c r="M125">
        <v>0</v>
      </c>
      <c r="N125" s="3" t="s">
        <v>34</v>
      </c>
      <c r="O125">
        <v>0</v>
      </c>
      <c r="P125" s="3" t="s">
        <v>35</v>
      </c>
    </row>
    <row r="126" spans="1:16" x14ac:dyDescent="0.25">
      <c r="A126" s="3" t="s">
        <v>107</v>
      </c>
      <c r="B126" s="3" t="s">
        <v>102</v>
      </c>
      <c r="C126">
        <v>3</v>
      </c>
      <c r="D126" s="3" t="s">
        <v>256</v>
      </c>
      <c r="E126" s="3" t="s">
        <v>257</v>
      </c>
      <c r="F126">
        <v>-6358992</v>
      </c>
      <c r="G126">
        <v>-6358991.9900000002</v>
      </c>
      <c r="H126">
        <v>1</v>
      </c>
      <c r="I126">
        <v>0</v>
      </c>
      <c r="J126">
        <v>-12.6</v>
      </c>
      <c r="K126">
        <v>-6358992</v>
      </c>
      <c r="L126">
        <v>-12.6</v>
      </c>
      <c r="M126">
        <v>0</v>
      </c>
      <c r="N126" s="3" t="s">
        <v>34</v>
      </c>
      <c r="O126">
        <v>0</v>
      </c>
      <c r="P126" s="3" t="s">
        <v>35</v>
      </c>
    </row>
    <row r="127" spans="1:16" x14ac:dyDescent="0.25">
      <c r="A127" s="3" t="s">
        <v>126</v>
      </c>
      <c r="B127" s="3" t="s">
        <v>31</v>
      </c>
      <c r="C127">
        <v>1</v>
      </c>
      <c r="D127" s="3" t="s">
        <v>136</v>
      </c>
      <c r="E127" s="3" t="s">
        <v>137</v>
      </c>
      <c r="F127">
        <v>3433</v>
      </c>
      <c r="G127">
        <v>1239852.7538999999</v>
      </c>
      <c r="H127">
        <v>227.79060000000001</v>
      </c>
      <c r="I127">
        <v>285.59008799999998</v>
      </c>
      <c r="J127">
        <v>4.2</v>
      </c>
      <c r="K127">
        <v>1239853</v>
      </c>
      <c r="L127">
        <v>4.2</v>
      </c>
      <c r="M127">
        <v>0</v>
      </c>
      <c r="N127" s="3" t="s">
        <v>34</v>
      </c>
      <c r="O127">
        <v>0</v>
      </c>
      <c r="P127" s="3" t="s">
        <v>35</v>
      </c>
    </row>
    <row r="128" spans="1:16" x14ac:dyDescent="0.25">
      <c r="A128" s="3" t="s">
        <v>126</v>
      </c>
      <c r="B128" s="3" t="s">
        <v>31</v>
      </c>
      <c r="C128">
        <v>2</v>
      </c>
      <c r="D128" s="3" t="s">
        <v>156</v>
      </c>
      <c r="E128" s="3" t="s">
        <v>157</v>
      </c>
      <c r="F128">
        <v>3172</v>
      </c>
      <c r="G128">
        <v>1076755.9912</v>
      </c>
      <c r="H128">
        <v>223.5247</v>
      </c>
      <c r="I128">
        <v>268.31005900000002</v>
      </c>
      <c r="J128">
        <v>3.7</v>
      </c>
      <c r="K128">
        <v>1076756</v>
      </c>
      <c r="L128">
        <v>3.7</v>
      </c>
      <c r="M128">
        <v>0</v>
      </c>
      <c r="N128" s="3" t="s">
        <v>34</v>
      </c>
      <c r="O128">
        <v>0</v>
      </c>
      <c r="P128" s="3" t="s">
        <v>35</v>
      </c>
    </row>
    <row r="129" spans="1:16" x14ac:dyDescent="0.25">
      <c r="A129" s="3" t="s">
        <v>126</v>
      </c>
      <c r="B129" s="3" t="s">
        <v>31</v>
      </c>
      <c r="C129">
        <v>3</v>
      </c>
      <c r="D129" s="3" t="s">
        <v>144</v>
      </c>
      <c r="E129" s="3" t="s">
        <v>145</v>
      </c>
      <c r="F129">
        <v>17681</v>
      </c>
      <c r="G129">
        <v>1042394.7738</v>
      </c>
      <c r="H129">
        <v>48.938800000000001</v>
      </c>
      <c r="I129">
        <v>46.619995000000003</v>
      </c>
      <c r="J129">
        <v>3.5</v>
      </c>
      <c r="K129">
        <v>1042395</v>
      </c>
      <c r="L129">
        <v>3.5</v>
      </c>
      <c r="M129">
        <v>0</v>
      </c>
      <c r="N129" s="3" t="s">
        <v>34</v>
      </c>
      <c r="O129">
        <v>0</v>
      </c>
      <c r="P129" s="3" t="s">
        <v>35</v>
      </c>
    </row>
    <row r="130" spans="1:16" x14ac:dyDescent="0.25">
      <c r="A130" s="3" t="s">
        <v>126</v>
      </c>
      <c r="B130" s="3" t="s">
        <v>31</v>
      </c>
      <c r="C130">
        <v>4</v>
      </c>
      <c r="D130" s="3" t="s">
        <v>138</v>
      </c>
      <c r="E130" s="3" t="s">
        <v>139</v>
      </c>
      <c r="F130">
        <v>207</v>
      </c>
      <c r="G130">
        <v>896705.91170000006</v>
      </c>
      <c r="H130">
        <v>3202.2293</v>
      </c>
      <c r="I130">
        <v>3425.6298830000001</v>
      </c>
      <c r="J130">
        <v>3</v>
      </c>
      <c r="K130">
        <v>896706</v>
      </c>
      <c r="L130">
        <v>3</v>
      </c>
      <c r="M130">
        <v>0</v>
      </c>
      <c r="N130" s="3" t="s">
        <v>34</v>
      </c>
      <c r="O130">
        <v>0</v>
      </c>
      <c r="P130" s="3" t="s">
        <v>35</v>
      </c>
    </row>
    <row r="131" spans="1:16" x14ac:dyDescent="0.25">
      <c r="A131" s="3" t="s">
        <v>126</v>
      </c>
      <c r="B131" s="3" t="s">
        <v>31</v>
      </c>
      <c r="C131">
        <v>5</v>
      </c>
      <c r="D131" s="3" t="s">
        <v>140</v>
      </c>
      <c r="E131" s="3" t="s">
        <v>141</v>
      </c>
      <c r="F131">
        <v>1959</v>
      </c>
      <c r="G131">
        <v>874405.85340000002</v>
      </c>
      <c r="H131">
        <v>271.32740000000001</v>
      </c>
      <c r="I131">
        <v>352.93994099999998</v>
      </c>
      <c r="J131">
        <v>3</v>
      </c>
      <c r="K131">
        <v>874406</v>
      </c>
      <c r="L131">
        <v>3</v>
      </c>
      <c r="M131">
        <v>0</v>
      </c>
      <c r="N131" s="3" t="s">
        <v>34</v>
      </c>
      <c r="O131">
        <v>0</v>
      </c>
      <c r="P131" s="3" t="s">
        <v>35</v>
      </c>
    </row>
    <row r="132" spans="1:16" x14ac:dyDescent="0.25">
      <c r="A132" s="3" t="s">
        <v>126</v>
      </c>
      <c r="B132" s="3" t="s">
        <v>31</v>
      </c>
      <c r="C132">
        <v>6</v>
      </c>
      <c r="D132" s="3" t="s">
        <v>199</v>
      </c>
      <c r="E132" s="3" t="s">
        <v>200</v>
      </c>
      <c r="F132">
        <v>2956</v>
      </c>
      <c r="G132">
        <v>866579.72219999996</v>
      </c>
      <c r="H132">
        <v>288.7602</v>
      </c>
      <c r="I132">
        <v>231.58999600000001</v>
      </c>
      <c r="J132">
        <v>2.9</v>
      </c>
      <c r="K132">
        <v>866580</v>
      </c>
      <c r="L132">
        <v>2.9</v>
      </c>
      <c r="M132">
        <v>0</v>
      </c>
      <c r="N132" s="3" t="s">
        <v>34</v>
      </c>
      <c r="O132">
        <v>0</v>
      </c>
      <c r="P132" s="3" t="s">
        <v>35</v>
      </c>
    </row>
    <row r="133" spans="1:16" x14ac:dyDescent="0.25">
      <c r="A133" s="3" t="s">
        <v>126</v>
      </c>
      <c r="B133" s="3" t="s">
        <v>31</v>
      </c>
      <c r="C133">
        <v>7</v>
      </c>
      <c r="D133" s="3" t="s">
        <v>180</v>
      </c>
      <c r="E133" s="3" t="s">
        <v>51</v>
      </c>
      <c r="F133">
        <v>981</v>
      </c>
      <c r="G133">
        <v>850288.64179999998</v>
      </c>
      <c r="H133">
        <v>447.0915</v>
      </c>
      <c r="I133">
        <v>685.40014599999995</v>
      </c>
      <c r="J133">
        <v>2.9</v>
      </c>
      <c r="K133">
        <v>850289</v>
      </c>
      <c r="L133">
        <v>2.9</v>
      </c>
      <c r="M133">
        <v>0</v>
      </c>
      <c r="N133" s="3" t="s">
        <v>34</v>
      </c>
      <c r="O133">
        <v>0</v>
      </c>
      <c r="P133" s="3" t="s">
        <v>35</v>
      </c>
    </row>
    <row r="134" spans="1:16" x14ac:dyDescent="0.25">
      <c r="A134" s="3" t="s">
        <v>126</v>
      </c>
      <c r="B134" s="3" t="s">
        <v>31</v>
      </c>
      <c r="C134">
        <v>8</v>
      </c>
      <c r="D134" s="3" t="s">
        <v>148</v>
      </c>
      <c r="E134" s="3" t="s">
        <v>149</v>
      </c>
      <c r="F134">
        <v>2778</v>
      </c>
      <c r="G134">
        <v>815289.01289999997</v>
      </c>
      <c r="H134">
        <v>187.89349999999999</v>
      </c>
      <c r="I134">
        <v>198</v>
      </c>
      <c r="J134">
        <v>2.8</v>
      </c>
      <c r="K134">
        <v>815289</v>
      </c>
      <c r="L134">
        <v>2.8</v>
      </c>
      <c r="M134">
        <v>0.6</v>
      </c>
      <c r="N134" s="3" t="s">
        <v>34</v>
      </c>
      <c r="O134">
        <v>0</v>
      </c>
      <c r="P134" s="3" t="s">
        <v>35</v>
      </c>
    </row>
    <row r="135" spans="1:16" x14ac:dyDescent="0.25">
      <c r="A135" s="3" t="s">
        <v>126</v>
      </c>
      <c r="B135" s="3" t="s">
        <v>31</v>
      </c>
      <c r="C135">
        <v>9</v>
      </c>
      <c r="D135" s="3" t="s">
        <v>166</v>
      </c>
      <c r="E135" s="3" t="s">
        <v>167</v>
      </c>
      <c r="F135">
        <v>7590</v>
      </c>
      <c r="G135">
        <v>798483.76509999996</v>
      </c>
      <c r="H135">
        <v>72.707300000000004</v>
      </c>
      <c r="I135">
        <v>83.190002000000007</v>
      </c>
      <c r="J135">
        <v>2.7</v>
      </c>
      <c r="K135">
        <v>798484</v>
      </c>
      <c r="L135">
        <v>2.7</v>
      </c>
      <c r="M135">
        <v>0</v>
      </c>
      <c r="N135" s="3" t="s">
        <v>34</v>
      </c>
      <c r="O135">
        <v>0</v>
      </c>
      <c r="P135" s="3" t="s">
        <v>35</v>
      </c>
    </row>
    <row r="136" spans="1:16" x14ac:dyDescent="0.25">
      <c r="A136" s="3" t="s">
        <v>126</v>
      </c>
      <c r="B136" s="3" t="s">
        <v>31</v>
      </c>
      <c r="C136">
        <v>10</v>
      </c>
      <c r="D136" s="3" t="s">
        <v>146</v>
      </c>
      <c r="E136" s="3" t="s">
        <v>147</v>
      </c>
      <c r="F136">
        <v>3630</v>
      </c>
      <c r="G136">
        <v>774788.69469999999</v>
      </c>
      <c r="H136">
        <v>135.15270000000001</v>
      </c>
      <c r="I136">
        <v>144</v>
      </c>
      <c r="J136">
        <v>2.6</v>
      </c>
      <c r="K136">
        <v>774789</v>
      </c>
      <c r="L136">
        <v>2.6</v>
      </c>
      <c r="M136">
        <v>2.1</v>
      </c>
      <c r="N136" s="3" t="s">
        <v>34</v>
      </c>
      <c r="O136">
        <v>0</v>
      </c>
      <c r="P136" s="3" t="s">
        <v>35</v>
      </c>
    </row>
    <row r="137" spans="1:16" x14ac:dyDescent="0.25">
      <c r="A137" s="3" t="s">
        <v>126</v>
      </c>
      <c r="B137" s="3" t="s">
        <v>31</v>
      </c>
      <c r="C137">
        <v>11</v>
      </c>
      <c r="D137" s="3" t="s">
        <v>142</v>
      </c>
      <c r="E137" s="3" t="s">
        <v>143</v>
      </c>
      <c r="F137">
        <v>8784</v>
      </c>
      <c r="G137">
        <v>740309.53859999997</v>
      </c>
      <c r="H137">
        <v>54.585900000000002</v>
      </c>
      <c r="I137">
        <v>56.860000999999997</v>
      </c>
      <c r="J137">
        <v>2.5</v>
      </c>
      <c r="K137">
        <v>740310</v>
      </c>
      <c r="L137">
        <v>2.5</v>
      </c>
      <c r="M137">
        <v>0</v>
      </c>
      <c r="N137" s="3" t="s">
        <v>34</v>
      </c>
      <c r="O137">
        <v>0</v>
      </c>
      <c r="P137" s="3" t="s">
        <v>35</v>
      </c>
    </row>
    <row r="138" spans="1:16" x14ac:dyDescent="0.25">
      <c r="A138" s="3" t="s">
        <v>126</v>
      </c>
      <c r="B138" s="3" t="s">
        <v>31</v>
      </c>
      <c r="C138">
        <v>12</v>
      </c>
      <c r="D138" s="3" t="s">
        <v>170</v>
      </c>
      <c r="E138" s="3" t="s">
        <v>171</v>
      </c>
      <c r="F138">
        <v>61633</v>
      </c>
      <c r="G138">
        <v>723293.31110000005</v>
      </c>
      <c r="H138">
        <v>9.7399000000000004</v>
      </c>
      <c r="I138">
        <v>9.27</v>
      </c>
      <c r="J138">
        <v>2.5</v>
      </c>
      <c r="K138">
        <v>723293</v>
      </c>
      <c r="L138">
        <v>2.5</v>
      </c>
      <c r="M138">
        <v>0</v>
      </c>
      <c r="N138" s="3" t="s">
        <v>34</v>
      </c>
      <c r="O138">
        <v>0</v>
      </c>
      <c r="P138" s="3" t="s">
        <v>35</v>
      </c>
    </row>
    <row r="139" spans="1:16" x14ac:dyDescent="0.25">
      <c r="A139" s="3" t="s">
        <v>126</v>
      </c>
      <c r="B139" s="3" t="s">
        <v>31</v>
      </c>
      <c r="C139">
        <v>13</v>
      </c>
      <c r="D139" s="3" t="s">
        <v>176</v>
      </c>
      <c r="E139" s="3" t="s">
        <v>177</v>
      </c>
      <c r="F139">
        <v>2315</v>
      </c>
      <c r="G139">
        <v>677932.54339999997</v>
      </c>
      <c r="H139">
        <v>207.67150000000001</v>
      </c>
      <c r="I139">
        <v>231.570007</v>
      </c>
      <c r="J139">
        <v>2.2999999999999998</v>
      </c>
      <c r="K139">
        <v>677933</v>
      </c>
      <c r="L139">
        <v>2.2999999999999998</v>
      </c>
      <c r="M139">
        <v>0.6</v>
      </c>
      <c r="N139" s="3" t="s">
        <v>34</v>
      </c>
      <c r="O139">
        <v>0</v>
      </c>
      <c r="P139" s="3" t="s">
        <v>35</v>
      </c>
    </row>
    <row r="140" spans="1:16" x14ac:dyDescent="0.25">
      <c r="A140" s="3" t="s">
        <v>126</v>
      </c>
      <c r="B140" s="3" t="s">
        <v>31</v>
      </c>
      <c r="C140">
        <v>14</v>
      </c>
      <c r="D140" s="3" t="s">
        <v>154</v>
      </c>
      <c r="E140" s="3" t="s">
        <v>155</v>
      </c>
      <c r="F140">
        <v>252200</v>
      </c>
      <c r="G140">
        <v>667228.10320000001</v>
      </c>
      <c r="H140">
        <v>31.710999999999999</v>
      </c>
      <c r="I140">
        <v>41.960006999999997</v>
      </c>
      <c r="J140">
        <v>2.2999999999999998</v>
      </c>
      <c r="K140">
        <v>667228</v>
      </c>
      <c r="L140">
        <v>2.2999999999999998</v>
      </c>
      <c r="M140">
        <v>0</v>
      </c>
      <c r="N140" s="3" t="s">
        <v>34</v>
      </c>
      <c r="O140">
        <v>0</v>
      </c>
      <c r="P140" s="3" t="s">
        <v>35</v>
      </c>
    </row>
    <row r="141" spans="1:16" x14ac:dyDescent="0.25">
      <c r="A141" s="3" t="s">
        <v>126</v>
      </c>
      <c r="B141" s="3" t="s">
        <v>31</v>
      </c>
      <c r="C141">
        <v>15</v>
      </c>
      <c r="D141" s="3" t="s">
        <v>164</v>
      </c>
      <c r="E141" s="3" t="s">
        <v>165</v>
      </c>
      <c r="F141">
        <v>1956</v>
      </c>
      <c r="G141">
        <v>660687.47649999999</v>
      </c>
      <c r="H141">
        <v>268.10199999999998</v>
      </c>
      <c r="I141">
        <v>267.100098</v>
      </c>
      <c r="J141">
        <v>2.2000000000000002</v>
      </c>
      <c r="K141">
        <v>660687</v>
      </c>
      <c r="L141">
        <v>2.2000000000000002</v>
      </c>
      <c r="M141">
        <v>0</v>
      </c>
      <c r="N141" s="3" t="s">
        <v>34</v>
      </c>
      <c r="O141">
        <v>0</v>
      </c>
      <c r="P141" s="3" t="s">
        <v>35</v>
      </c>
    </row>
    <row r="142" spans="1:16" x14ac:dyDescent="0.25">
      <c r="A142" s="3" t="s">
        <v>126</v>
      </c>
      <c r="B142" s="3" t="s">
        <v>31</v>
      </c>
      <c r="C142">
        <v>16</v>
      </c>
      <c r="D142" s="3" t="s">
        <v>160</v>
      </c>
      <c r="E142" s="3" t="s">
        <v>161</v>
      </c>
      <c r="F142">
        <v>35586</v>
      </c>
      <c r="G142">
        <v>648029.58349999995</v>
      </c>
      <c r="H142">
        <v>12.428000000000001</v>
      </c>
      <c r="I142">
        <v>14.4</v>
      </c>
      <c r="J142">
        <v>2.2000000000000002</v>
      </c>
      <c r="K142">
        <v>648030</v>
      </c>
      <c r="L142">
        <v>2.2000000000000002</v>
      </c>
      <c r="M142">
        <v>0</v>
      </c>
      <c r="N142" s="3" t="s">
        <v>34</v>
      </c>
      <c r="O142">
        <v>0</v>
      </c>
      <c r="P142" s="3" t="s">
        <v>35</v>
      </c>
    </row>
    <row r="143" spans="1:16" x14ac:dyDescent="0.25">
      <c r="A143" s="3" t="s">
        <v>126</v>
      </c>
      <c r="B143" s="3" t="s">
        <v>31</v>
      </c>
      <c r="C143">
        <v>17</v>
      </c>
      <c r="D143" s="3" t="s">
        <v>168</v>
      </c>
      <c r="E143" s="3" t="s">
        <v>169</v>
      </c>
      <c r="F143">
        <v>1709</v>
      </c>
      <c r="G143">
        <v>646955.85010000004</v>
      </c>
      <c r="H143">
        <v>214.1671</v>
      </c>
      <c r="I143">
        <v>299.34008799999998</v>
      </c>
      <c r="J143">
        <v>2.2000000000000002</v>
      </c>
      <c r="K143">
        <v>646956</v>
      </c>
      <c r="L143">
        <v>2.2000000000000002</v>
      </c>
      <c r="M143">
        <v>0.8</v>
      </c>
      <c r="N143" s="3" t="s">
        <v>34</v>
      </c>
      <c r="O143">
        <v>0</v>
      </c>
      <c r="P143" s="3" t="s">
        <v>35</v>
      </c>
    </row>
    <row r="144" spans="1:16" x14ac:dyDescent="0.25">
      <c r="A144" s="3" t="s">
        <v>126</v>
      </c>
      <c r="B144" s="3" t="s">
        <v>31</v>
      </c>
      <c r="C144">
        <v>18</v>
      </c>
      <c r="D144" s="3" t="s">
        <v>152</v>
      </c>
      <c r="E144" s="3" t="s">
        <v>153</v>
      </c>
      <c r="F144">
        <v>269</v>
      </c>
      <c r="G144">
        <v>636002.51049999997</v>
      </c>
      <c r="H144">
        <v>1526.7090000000001</v>
      </c>
      <c r="I144">
        <v>1869.1899410000001</v>
      </c>
      <c r="J144">
        <v>2.2000000000000002</v>
      </c>
      <c r="K144">
        <v>636003</v>
      </c>
      <c r="L144">
        <v>2.2000000000000002</v>
      </c>
      <c r="M144">
        <v>0</v>
      </c>
      <c r="N144" s="3" t="s">
        <v>34</v>
      </c>
      <c r="O144">
        <v>0</v>
      </c>
      <c r="P144" s="3" t="s">
        <v>35</v>
      </c>
    </row>
    <row r="145" spans="1:16" x14ac:dyDescent="0.25">
      <c r="A145" s="3" t="s">
        <v>126</v>
      </c>
      <c r="B145" s="3" t="s">
        <v>31</v>
      </c>
      <c r="C145">
        <v>19</v>
      </c>
      <c r="D145" s="3" t="s">
        <v>158</v>
      </c>
      <c r="E145" s="3" t="s">
        <v>159</v>
      </c>
      <c r="F145">
        <v>3949</v>
      </c>
      <c r="G145">
        <v>628433.03720000002</v>
      </c>
      <c r="H145">
        <v>92.384900000000002</v>
      </c>
      <c r="I145">
        <v>125.710007</v>
      </c>
      <c r="J145">
        <v>2.1</v>
      </c>
      <c r="K145">
        <v>628433</v>
      </c>
      <c r="L145">
        <v>2.1</v>
      </c>
      <c r="M145">
        <v>1.5</v>
      </c>
      <c r="N145" s="3" t="s">
        <v>34</v>
      </c>
      <c r="O145">
        <v>0</v>
      </c>
      <c r="P145" s="3" t="s">
        <v>35</v>
      </c>
    </row>
    <row r="146" spans="1:16" x14ac:dyDescent="0.25">
      <c r="A146" s="3" t="s">
        <v>126</v>
      </c>
      <c r="B146" s="3" t="s">
        <v>31</v>
      </c>
      <c r="C146">
        <v>20</v>
      </c>
      <c r="D146" s="3" t="s">
        <v>312</v>
      </c>
      <c r="E146" s="3" t="s">
        <v>313</v>
      </c>
      <c r="F146">
        <v>5253</v>
      </c>
      <c r="G146">
        <v>628090.35660000006</v>
      </c>
      <c r="H146">
        <v>79.195899999999995</v>
      </c>
      <c r="I146">
        <v>94.470000999999996</v>
      </c>
      <c r="J146">
        <v>2.1</v>
      </c>
      <c r="K146">
        <v>628090</v>
      </c>
      <c r="L146">
        <v>2.1</v>
      </c>
      <c r="M146">
        <v>0</v>
      </c>
      <c r="N146" s="3" t="s">
        <v>34</v>
      </c>
      <c r="O146">
        <v>0</v>
      </c>
      <c r="P146" s="3" t="s">
        <v>35</v>
      </c>
    </row>
    <row r="147" spans="1:16" x14ac:dyDescent="0.25">
      <c r="A147" s="3" t="s">
        <v>126</v>
      </c>
      <c r="B147" s="3" t="s">
        <v>31</v>
      </c>
      <c r="C147">
        <v>21</v>
      </c>
      <c r="D147" s="3" t="s">
        <v>216</v>
      </c>
      <c r="E147" s="3" t="s">
        <v>217</v>
      </c>
      <c r="F147">
        <v>168</v>
      </c>
      <c r="G147">
        <v>604279.50939999998</v>
      </c>
      <c r="H147">
        <v>2176.6462999999999</v>
      </c>
      <c r="I147">
        <v>2844.3000489999999</v>
      </c>
      <c r="J147">
        <v>2.1</v>
      </c>
      <c r="K147">
        <v>604280</v>
      </c>
      <c r="L147">
        <v>2.1</v>
      </c>
      <c r="M147">
        <v>0</v>
      </c>
      <c r="N147" s="3" t="s">
        <v>34</v>
      </c>
      <c r="O147">
        <v>0</v>
      </c>
      <c r="P147" s="3" t="s">
        <v>35</v>
      </c>
    </row>
    <row r="148" spans="1:16" x14ac:dyDescent="0.25">
      <c r="A148" s="3" t="s">
        <v>126</v>
      </c>
      <c r="B148" s="3" t="s">
        <v>31</v>
      </c>
      <c r="C148">
        <v>22</v>
      </c>
      <c r="D148" s="3" t="s">
        <v>172</v>
      </c>
      <c r="E148" s="3" t="s">
        <v>173</v>
      </c>
      <c r="F148">
        <v>76700</v>
      </c>
      <c r="G148">
        <v>595847.39379999996</v>
      </c>
      <c r="H148">
        <v>100.63979999999999</v>
      </c>
      <c r="I148">
        <v>123.210007</v>
      </c>
      <c r="J148">
        <v>2</v>
      </c>
      <c r="K148">
        <v>595847</v>
      </c>
      <c r="L148">
        <v>2</v>
      </c>
      <c r="M148">
        <v>1.2</v>
      </c>
      <c r="N148" s="3" t="s">
        <v>34</v>
      </c>
      <c r="O148">
        <v>0</v>
      </c>
      <c r="P148" s="3" t="s">
        <v>35</v>
      </c>
    </row>
    <row r="149" spans="1:16" x14ac:dyDescent="0.25">
      <c r="A149" s="3" t="s">
        <v>126</v>
      </c>
      <c r="B149" s="3" t="s">
        <v>31</v>
      </c>
      <c r="C149">
        <v>23</v>
      </c>
      <c r="D149" s="3" t="s">
        <v>178</v>
      </c>
      <c r="E149" s="3" t="s">
        <v>179</v>
      </c>
      <c r="F149">
        <v>2072</v>
      </c>
      <c r="G149">
        <v>583922.99589999998</v>
      </c>
      <c r="H149">
        <v>205.2654</v>
      </c>
      <c r="I149">
        <v>222.779999</v>
      </c>
      <c r="J149">
        <v>2</v>
      </c>
      <c r="K149">
        <v>583923</v>
      </c>
      <c r="L149">
        <v>2</v>
      </c>
      <c r="M149">
        <v>0</v>
      </c>
      <c r="N149" s="3" t="s">
        <v>34</v>
      </c>
      <c r="O149">
        <v>0</v>
      </c>
      <c r="P149" s="3" t="s">
        <v>35</v>
      </c>
    </row>
    <row r="150" spans="1:16" x14ac:dyDescent="0.25">
      <c r="A150" s="3" t="s">
        <v>126</v>
      </c>
      <c r="B150" s="3" t="s">
        <v>31</v>
      </c>
      <c r="C150">
        <v>24</v>
      </c>
      <c r="D150" s="3" t="s">
        <v>150</v>
      </c>
      <c r="E150" s="3" t="s">
        <v>151</v>
      </c>
      <c r="F150">
        <v>2789</v>
      </c>
      <c r="G150">
        <v>583090.24010000005</v>
      </c>
      <c r="H150">
        <v>131.48079999999999</v>
      </c>
      <c r="I150">
        <v>141.050003</v>
      </c>
      <c r="J150">
        <v>2</v>
      </c>
      <c r="K150">
        <v>583090</v>
      </c>
      <c r="L150">
        <v>2</v>
      </c>
      <c r="M150">
        <v>0</v>
      </c>
      <c r="N150" s="3" t="s">
        <v>34</v>
      </c>
      <c r="O150">
        <v>0</v>
      </c>
      <c r="P150" s="3" t="s">
        <v>35</v>
      </c>
    </row>
    <row r="151" spans="1:16" x14ac:dyDescent="0.25">
      <c r="A151" s="3" t="s">
        <v>126</v>
      </c>
      <c r="B151" s="3" t="s">
        <v>31</v>
      </c>
      <c r="C151">
        <v>25</v>
      </c>
      <c r="D151" s="3" t="s">
        <v>193</v>
      </c>
      <c r="E151" s="3" t="s">
        <v>194</v>
      </c>
      <c r="F151">
        <v>5235</v>
      </c>
      <c r="G151">
        <v>544635.69530000002</v>
      </c>
      <c r="H151">
        <v>67.915800000000004</v>
      </c>
      <c r="I151">
        <v>70.190002000000007</v>
      </c>
      <c r="J151">
        <v>1.8</v>
      </c>
      <c r="K151">
        <v>544636</v>
      </c>
      <c r="L151">
        <v>1.8</v>
      </c>
      <c r="M151">
        <v>0</v>
      </c>
      <c r="N151" s="3" t="s">
        <v>34</v>
      </c>
      <c r="O151">
        <v>0</v>
      </c>
      <c r="P151" s="3" t="s">
        <v>35</v>
      </c>
    </row>
    <row r="152" spans="1:16" x14ac:dyDescent="0.25">
      <c r="A152" s="3" t="s">
        <v>126</v>
      </c>
      <c r="B152" s="3" t="s">
        <v>31</v>
      </c>
      <c r="C152">
        <v>26</v>
      </c>
      <c r="D152" s="3" t="s">
        <v>162</v>
      </c>
      <c r="E152" s="3" t="s">
        <v>163</v>
      </c>
      <c r="F152">
        <v>2916</v>
      </c>
      <c r="G152">
        <v>541778.30660000001</v>
      </c>
      <c r="H152">
        <v>119.20059999999999</v>
      </c>
      <c r="I152">
        <v>146.91000399999999</v>
      </c>
      <c r="J152">
        <v>1.8</v>
      </c>
      <c r="K152">
        <v>541778</v>
      </c>
      <c r="L152">
        <v>1.8</v>
      </c>
      <c r="M152">
        <v>0.6</v>
      </c>
      <c r="N152" s="3" t="s">
        <v>34</v>
      </c>
      <c r="O152">
        <v>0</v>
      </c>
      <c r="P152" s="3" t="s">
        <v>35</v>
      </c>
    </row>
    <row r="153" spans="1:16" x14ac:dyDescent="0.25">
      <c r="A153" s="3" t="s">
        <v>126</v>
      </c>
      <c r="B153" s="3" t="s">
        <v>31</v>
      </c>
      <c r="C153">
        <v>27</v>
      </c>
      <c r="D153" s="3" t="s">
        <v>293</v>
      </c>
      <c r="E153" s="3" t="s">
        <v>175</v>
      </c>
      <c r="F153">
        <v>7291</v>
      </c>
      <c r="G153">
        <v>537261.01179999998</v>
      </c>
      <c r="H153">
        <v>57.803100000000001</v>
      </c>
      <c r="I153">
        <v>58.270004</v>
      </c>
      <c r="J153">
        <v>1.8</v>
      </c>
      <c r="K153">
        <v>537261</v>
      </c>
      <c r="L153">
        <v>1.8</v>
      </c>
      <c r="M153">
        <v>0.4</v>
      </c>
      <c r="N153" s="3" t="s">
        <v>34</v>
      </c>
      <c r="O153">
        <v>0</v>
      </c>
      <c r="P153" s="3" t="s">
        <v>35</v>
      </c>
    </row>
    <row r="154" spans="1:16" x14ac:dyDescent="0.25">
      <c r="A154" s="3" t="s">
        <v>126</v>
      </c>
      <c r="B154" s="3" t="s">
        <v>31</v>
      </c>
      <c r="C154">
        <v>28</v>
      </c>
      <c r="D154" s="3" t="s">
        <v>185</v>
      </c>
      <c r="E154" s="3" t="s">
        <v>186</v>
      </c>
      <c r="F154">
        <v>45280</v>
      </c>
      <c r="G154">
        <v>530524.97409999999</v>
      </c>
      <c r="H154">
        <v>66.358699999999999</v>
      </c>
      <c r="I154">
        <v>80.160004000000001</v>
      </c>
      <c r="J154">
        <v>1.8</v>
      </c>
      <c r="K154">
        <v>530525</v>
      </c>
      <c r="L154">
        <v>1.8</v>
      </c>
      <c r="M154">
        <v>1.9</v>
      </c>
      <c r="N154" s="3" t="s">
        <v>34</v>
      </c>
      <c r="O154">
        <v>0</v>
      </c>
      <c r="P154" s="3" t="s">
        <v>35</v>
      </c>
    </row>
    <row r="155" spans="1:16" x14ac:dyDescent="0.25">
      <c r="A155" s="3" t="s">
        <v>126</v>
      </c>
      <c r="B155" s="3" t="s">
        <v>31</v>
      </c>
      <c r="C155">
        <v>29</v>
      </c>
      <c r="D155" s="3" t="s">
        <v>195</v>
      </c>
      <c r="E155" s="3" t="s">
        <v>196</v>
      </c>
      <c r="F155">
        <v>2858</v>
      </c>
      <c r="G155">
        <v>524352.03079999995</v>
      </c>
      <c r="H155">
        <v>248.14439999999999</v>
      </c>
      <c r="I155">
        <v>145.08000200000001</v>
      </c>
      <c r="J155">
        <v>1.8</v>
      </c>
      <c r="K155">
        <v>524352</v>
      </c>
      <c r="L155">
        <v>1.8</v>
      </c>
      <c r="M155">
        <v>0</v>
      </c>
      <c r="N155" s="3" t="s">
        <v>34</v>
      </c>
      <c r="O155">
        <v>0</v>
      </c>
      <c r="P155" s="3" t="s">
        <v>35</v>
      </c>
    </row>
    <row r="156" spans="1:16" x14ac:dyDescent="0.25">
      <c r="A156" s="3" t="s">
        <v>126</v>
      </c>
      <c r="B156" s="3" t="s">
        <v>31</v>
      </c>
      <c r="C156">
        <v>30</v>
      </c>
      <c r="D156" s="3" t="s">
        <v>205</v>
      </c>
      <c r="E156" s="3" t="s">
        <v>206</v>
      </c>
      <c r="F156">
        <v>239</v>
      </c>
      <c r="G156">
        <v>520424.89230000001</v>
      </c>
      <c r="H156">
        <v>1544.671</v>
      </c>
      <c r="I156">
        <v>2177.51001</v>
      </c>
      <c r="J156">
        <v>1.8</v>
      </c>
      <c r="K156">
        <v>520425</v>
      </c>
      <c r="L156">
        <v>1.8</v>
      </c>
      <c r="M156">
        <v>0.2</v>
      </c>
      <c r="N156" s="3" t="s">
        <v>34</v>
      </c>
      <c r="O156">
        <v>0</v>
      </c>
      <c r="P156" s="3" t="s">
        <v>35</v>
      </c>
    </row>
    <row r="157" spans="1:16" x14ac:dyDescent="0.25">
      <c r="A157" s="3" t="s">
        <v>126</v>
      </c>
      <c r="B157" s="3" t="s">
        <v>31</v>
      </c>
      <c r="C157">
        <v>31</v>
      </c>
      <c r="D157" s="3" t="s">
        <v>174</v>
      </c>
      <c r="E157" s="3" t="s">
        <v>175</v>
      </c>
      <c r="F157">
        <v>6900</v>
      </c>
      <c r="G157">
        <v>515559.94549999997</v>
      </c>
      <c r="H157">
        <v>593.81880000000001</v>
      </c>
      <c r="I157">
        <v>460</v>
      </c>
      <c r="J157">
        <v>1.8</v>
      </c>
      <c r="K157">
        <v>515560</v>
      </c>
      <c r="L157">
        <v>1.8</v>
      </c>
      <c r="M157">
        <v>0.3</v>
      </c>
      <c r="N157" s="3" t="s">
        <v>34</v>
      </c>
      <c r="O157">
        <v>0</v>
      </c>
      <c r="P157" s="3" t="s">
        <v>35</v>
      </c>
    </row>
    <row r="158" spans="1:16" x14ac:dyDescent="0.25">
      <c r="A158" s="3" t="s">
        <v>126</v>
      </c>
      <c r="B158" s="3" t="s">
        <v>31</v>
      </c>
      <c r="C158">
        <v>32</v>
      </c>
      <c r="D158" s="3" t="s">
        <v>189</v>
      </c>
      <c r="E158" s="3" t="s">
        <v>190</v>
      </c>
      <c r="F158">
        <v>2318</v>
      </c>
      <c r="G158">
        <v>502373.54340000002</v>
      </c>
      <c r="H158">
        <v>154.34790000000001</v>
      </c>
      <c r="I158">
        <v>171.38000500000001</v>
      </c>
      <c r="J158">
        <v>1.7</v>
      </c>
      <c r="K158">
        <v>502374</v>
      </c>
      <c r="L158">
        <v>1.7</v>
      </c>
      <c r="M158">
        <v>1.1000000000000001</v>
      </c>
      <c r="N158" s="3" t="s">
        <v>34</v>
      </c>
      <c r="O158">
        <v>0</v>
      </c>
      <c r="P158" s="3" t="s">
        <v>35</v>
      </c>
    </row>
    <row r="159" spans="1:16" x14ac:dyDescent="0.25">
      <c r="A159" s="3" t="s">
        <v>126</v>
      </c>
      <c r="B159" s="3" t="s">
        <v>31</v>
      </c>
      <c r="C159">
        <v>33</v>
      </c>
      <c r="D159" s="3" t="s">
        <v>201</v>
      </c>
      <c r="E159" s="3" t="s">
        <v>202</v>
      </c>
      <c r="F159">
        <v>844</v>
      </c>
      <c r="G159">
        <v>497372.23839999997</v>
      </c>
      <c r="H159">
        <v>422.39479999999998</v>
      </c>
      <c r="I159">
        <v>466</v>
      </c>
      <c r="J159">
        <v>1.7</v>
      </c>
      <c r="K159">
        <v>497372</v>
      </c>
      <c r="L159">
        <v>1.7</v>
      </c>
      <c r="M159">
        <v>0.5</v>
      </c>
      <c r="N159" s="3" t="s">
        <v>34</v>
      </c>
      <c r="O159">
        <v>0</v>
      </c>
      <c r="P159" s="3" t="s">
        <v>35</v>
      </c>
    </row>
    <row r="160" spans="1:16" x14ac:dyDescent="0.25">
      <c r="A160" s="3" t="s">
        <v>126</v>
      </c>
      <c r="B160" s="3" t="s">
        <v>31</v>
      </c>
      <c r="C160">
        <v>34</v>
      </c>
      <c r="D160" s="3" t="s">
        <v>183</v>
      </c>
      <c r="E160" s="3" t="s">
        <v>184</v>
      </c>
      <c r="F160">
        <v>1273</v>
      </c>
      <c r="G160">
        <v>481550.3872</v>
      </c>
      <c r="H160">
        <v>193.96299999999999</v>
      </c>
      <c r="I160">
        <v>299.13012700000002</v>
      </c>
      <c r="J160">
        <v>1.6</v>
      </c>
      <c r="K160">
        <v>481550</v>
      </c>
      <c r="L160">
        <v>1.6</v>
      </c>
      <c r="M160">
        <v>0.7</v>
      </c>
      <c r="N160" s="3" t="s">
        <v>34</v>
      </c>
      <c r="O160">
        <v>0</v>
      </c>
      <c r="P160" s="3" t="s">
        <v>35</v>
      </c>
    </row>
    <row r="161" spans="1:16" x14ac:dyDescent="0.25">
      <c r="A161" s="3" t="s">
        <v>126</v>
      </c>
      <c r="B161" s="3" t="s">
        <v>31</v>
      </c>
      <c r="C161">
        <v>35</v>
      </c>
      <c r="D161" s="3" t="s">
        <v>191</v>
      </c>
      <c r="E161" s="3" t="s">
        <v>192</v>
      </c>
      <c r="F161">
        <v>8648</v>
      </c>
      <c r="G161">
        <v>462713.16769999999</v>
      </c>
      <c r="H161">
        <v>36.841299999999997</v>
      </c>
      <c r="I161">
        <v>42.309998</v>
      </c>
      <c r="J161">
        <v>1.6</v>
      </c>
      <c r="K161">
        <v>462713</v>
      </c>
      <c r="L161">
        <v>1.6</v>
      </c>
      <c r="M161">
        <v>1.3</v>
      </c>
      <c r="N161" s="3" t="s">
        <v>34</v>
      </c>
      <c r="O161">
        <v>0</v>
      </c>
      <c r="P161" s="3" t="s">
        <v>35</v>
      </c>
    </row>
    <row r="162" spans="1:16" x14ac:dyDescent="0.25">
      <c r="A162" s="3" t="s">
        <v>126</v>
      </c>
      <c r="B162" s="3" t="s">
        <v>31</v>
      </c>
      <c r="C162">
        <v>36</v>
      </c>
      <c r="D162" s="3" t="s">
        <v>218</v>
      </c>
      <c r="E162" s="3" t="s">
        <v>219</v>
      </c>
      <c r="F162">
        <v>1012</v>
      </c>
      <c r="G162">
        <v>447243.00170000002</v>
      </c>
      <c r="H162">
        <v>368.85419999999999</v>
      </c>
      <c r="I162">
        <v>349.46997099999999</v>
      </c>
      <c r="J162">
        <v>1.5</v>
      </c>
      <c r="K162">
        <v>447243</v>
      </c>
      <c r="L162">
        <v>1.5</v>
      </c>
      <c r="M162">
        <v>3.2</v>
      </c>
      <c r="N162" s="3" t="s">
        <v>34</v>
      </c>
      <c r="O162">
        <v>0</v>
      </c>
      <c r="P162" s="3" t="s">
        <v>35</v>
      </c>
    </row>
    <row r="163" spans="1:16" x14ac:dyDescent="0.25">
      <c r="A163" s="3" t="s">
        <v>126</v>
      </c>
      <c r="B163" s="3" t="s">
        <v>31</v>
      </c>
      <c r="C163">
        <v>37</v>
      </c>
      <c r="D163" s="3" t="s">
        <v>197</v>
      </c>
      <c r="E163" s="3" t="s">
        <v>198</v>
      </c>
      <c r="F163">
        <v>654</v>
      </c>
      <c r="G163">
        <v>417593.21350000001</v>
      </c>
      <c r="H163">
        <v>420.8356</v>
      </c>
      <c r="I163">
        <v>504.70996100000002</v>
      </c>
      <c r="J163">
        <v>1.4</v>
      </c>
      <c r="K163">
        <v>417593</v>
      </c>
      <c r="L163">
        <v>1.4</v>
      </c>
      <c r="M163">
        <v>2.9</v>
      </c>
      <c r="N163" s="3" t="s">
        <v>34</v>
      </c>
      <c r="O163">
        <v>0</v>
      </c>
      <c r="P163" s="3" t="s">
        <v>35</v>
      </c>
    </row>
    <row r="164" spans="1:16" x14ac:dyDescent="0.25">
      <c r="A164" s="3" t="s">
        <v>126</v>
      </c>
      <c r="B164" s="3" t="s">
        <v>31</v>
      </c>
      <c r="C164">
        <v>38</v>
      </c>
      <c r="D164" s="3" t="s">
        <v>220</v>
      </c>
      <c r="E164" s="3" t="s">
        <v>221</v>
      </c>
      <c r="F164">
        <v>1074</v>
      </c>
      <c r="G164">
        <v>396194.75140000001</v>
      </c>
      <c r="H164">
        <v>405.37430000000001</v>
      </c>
      <c r="I164">
        <v>291.41992199999999</v>
      </c>
      <c r="J164">
        <v>1.3</v>
      </c>
      <c r="K164">
        <v>396195</v>
      </c>
      <c r="L164">
        <v>1.3</v>
      </c>
      <c r="M164">
        <v>0</v>
      </c>
      <c r="N164" s="3" t="s">
        <v>34</v>
      </c>
      <c r="O164">
        <v>0</v>
      </c>
      <c r="P164" s="3" t="s">
        <v>35</v>
      </c>
    </row>
    <row r="165" spans="1:16" x14ac:dyDescent="0.25">
      <c r="A165" s="3" t="s">
        <v>126</v>
      </c>
      <c r="B165" s="3" t="s">
        <v>31</v>
      </c>
      <c r="C165">
        <v>39</v>
      </c>
      <c r="D165" s="3" t="s">
        <v>181</v>
      </c>
      <c r="E165" s="3" t="s">
        <v>182</v>
      </c>
      <c r="F165">
        <v>1103</v>
      </c>
      <c r="G165">
        <v>393599.7499</v>
      </c>
      <c r="H165">
        <v>229.3554</v>
      </c>
      <c r="I165">
        <v>282.17993200000001</v>
      </c>
      <c r="J165">
        <v>1.3</v>
      </c>
      <c r="K165">
        <v>393600</v>
      </c>
      <c r="L165">
        <v>1.3</v>
      </c>
      <c r="M165">
        <v>1.9</v>
      </c>
      <c r="N165" s="3" t="s">
        <v>34</v>
      </c>
      <c r="O165">
        <v>0</v>
      </c>
      <c r="P165" s="3" t="s">
        <v>35</v>
      </c>
    </row>
    <row r="166" spans="1:16" x14ac:dyDescent="0.25">
      <c r="A166" s="3" t="s">
        <v>126</v>
      </c>
      <c r="B166" s="3" t="s">
        <v>31</v>
      </c>
      <c r="C166">
        <v>40</v>
      </c>
      <c r="D166" s="3" t="s">
        <v>222</v>
      </c>
      <c r="E166" s="3" t="s">
        <v>223</v>
      </c>
      <c r="F166">
        <v>8438</v>
      </c>
      <c r="G166">
        <v>380713.3836</v>
      </c>
      <c r="H166">
        <v>25.696400000000001</v>
      </c>
      <c r="I166">
        <v>30.439986999999999</v>
      </c>
      <c r="J166">
        <v>1.3</v>
      </c>
      <c r="K166">
        <v>380713</v>
      </c>
      <c r="L166">
        <v>1.3</v>
      </c>
      <c r="M166">
        <v>0</v>
      </c>
      <c r="N166" s="3" t="s">
        <v>34</v>
      </c>
      <c r="O166">
        <v>0</v>
      </c>
      <c r="P166" s="3" t="s">
        <v>35</v>
      </c>
    </row>
    <row r="167" spans="1:16" x14ac:dyDescent="0.25">
      <c r="A167" s="3" t="s">
        <v>126</v>
      </c>
      <c r="B167" s="3" t="s">
        <v>31</v>
      </c>
      <c r="C167">
        <v>41</v>
      </c>
      <c r="D167" s="3" t="s">
        <v>209</v>
      </c>
      <c r="E167" s="3" t="s">
        <v>210</v>
      </c>
      <c r="F167">
        <v>157435</v>
      </c>
      <c r="G167">
        <v>372302.58010000002</v>
      </c>
      <c r="H167">
        <v>2.6048</v>
      </c>
      <c r="I167">
        <v>1.87</v>
      </c>
      <c r="J167">
        <v>1.3</v>
      </c>
      <c r="K167">
        <v>372303</v>
      </c>
      <c r="L167">
        <v>1.3</v>
      </c>
      <c r="M167">
        <v>0</v>
      </c>
      <c r="N167" s="3" t="s">
        <v>34</v>
      </c>
      <c r="O167">
        <v>0</v>
      </c>
      <c r="P167" s="3" t="s">
        <v>35</v>
      </c>
    </row>
    <row r="168" spans="1:16" x14ac:dyDescent="0.25">
      <c r="A168" s="3" t="s">
        <v>126</v>
      </c>
      <c r="B168" s="3" t="s">
        <v>31</v>
      </c>
      <c r="C168">
        <v>42</v>
      </c>
      <c r="D168" s="3" t="s">
        <v>213</v>
      </c>
      <c r="E168" s="3" t="s">
        <v>210</v>
      </c>
      <c r="F168">
        <v>153800</v>
      </c>
      <c r="G168">
        <v>366736.9314</v>
      </c>
      <c r="H168">
        <v>16.070900000000002</v>
      </c>
      <c r="I168">
        <v>14.68</v>
      </c>
      <c r="J168">
        <v>1.2</v>
      </c>
      <c r="K168">
        <v>366737</v>
      </c>
      <c r="L168">
        <v>1.2</v>
      </c>
      <c r="M168">
        <v>0</v>
      </c>
      <c r="N168" s="3" t="s">
        <v>34</v>
      </c>
      <c r="O168">
        <v>0</v>
      </c>
      <c r="P168" s="3" t="s">
        <v>35</v>
      </c>
    </row>
    <row r="169" spans="1:16" x14ac:dyDescent="0.25">
      <c r="A169" s="3" t="s">
        <v>126</v>
      </c>
      <c r="B169" s="3" t="s">
        <v>31</v>
      </c>
      <c r="C169">
        <v>43</v>
      </c>
      <c r="D169" s="3" t="s">
        <v>187</v>
      </c>
      <c r="E169" s="3" t="s">
        <v>188</v>
      </c>
      <c r="F169">
        <v>2630</v>
      </c>
      <c r="G169">
        <v>352090.08649999998</v>
      </c>
      <c r="H169">
        <v>85.519499999999994</v>
      </c>
      <c r="I169">
        <v>90.319991999999999</v>
      </c>
      <c r="J169">
        <v>1.2</v>
      </c>
      <c r="K169">
        <v>352090</v>
      </c>
      <c r="L169">
        <v>1.2</v>
      </c>
      <c r="M169">
        <v>1.1000000000000001</v>
      </c>
      <c r="N169" s="3" t="s">
        <v>34</v>
      </c>
      <c r="O169">
        <v>0</v>
      </c>
      <c r="P169" s="3" t="s">
        <v>35</v>
      </c>
    </row>
    <row r="170" spans="1:16" x14ac:dyDescent="0.25">
      <c r="A170" s="3" t="s">
        <v>126</v>
      </c>
      <c r="B170" s="3" t="s">
        <v>31</v>
      </c>
      <c r="C170">
        <v>44</v>
      </c>
      <c r="D170" s="3" t="s">
        <v>224</v>
      </c>
      <c r="E170" s="3" t="s">
        <v>225</v>
      </c>
      <c r="F170">
        <v>19383</v>
      </c>
      <c r="G170">
        <v>333114.5748</v>
      </c>
      <c r="H170">
        <v>20.363499999999998</v>
      </c>
      <c r="I170">
        <v>13.59</v>
      </c>
      <c r="J170">
        <v>1.1000000000000001</v>
      </c>
      <c r="K170">
        <v>333115</v>
      </c>
      <c r="L170">
        <v>1.1000000000000001</v>
      </c>
      <c r="M170">
        <v>0</v>
      </c>
      <c r="N170" s="3" t="s">
        <v>34</v>
      </c>
      <c r="O170">
        <v>0</v>
      </c>
      <c r="P170" s="3" t="s">
        <v>35</v>
      </c>
    </row>
    <row r="171" spans="1:16" x14ac:dyDescent="0.25">
      <c r="A171" s="3" t="s">
        <v>126</v>
      </c>
      <c r="B171" s="3" t="s">
        <v>31</v>
      </c>
      <c r="C171">
        <v>45</v>
      </c>
      <c r="D171" s="3" t="s">
        <v>207</v>
      </c>
      <c r="E171" s="3" t="s">
        <v>208</v>
      </c>
      <c r="F171">
        <v>5974</v>
      </c>
      <c r="G171">
        <v>319715.82270000002</v>
      </c>
      <c r="H171">
        <v>49.713999999999999</v>
      </c>
      <c r="I171">
        <v>42.290008999999998</v>
      </c>
      <c r="J171">
        <v>1.1000000000000001</v>
      </c>
      <c r="K171">
        <v>319716</v>
      </c>
      <c r="L171">
        <v>1.1000000000000001</v>
      </c>
      <c r="M171">
        <v>0</v>
      </c>
      <c r="N171" s="3" t="s">
        <v>34</v>
      </c>
      <c r="O171">
        <v>0</v>
      </c>
      <c r="P171" s="3" t="s">
        <v>35</v>
      </c>
    </row>
    <row r="172" spans="1:16" x14ac:dyDescent="0.25">
      <c r="A172" s="3" t="s">
        <v>126</v>
      </c>
      <c r="B172" s="3" t="s">
        <v>31</v>
      </c>
      <c r="C172">
        <v>46</v>
      </c>
      <c r="D172" s="3" t="s">
        <v>211</v>
      </c>
      <c r="E172" s="3" t="s">
        <v>212</v>
      </c>
      <c r="F172">
        <v>9300</v>
      </c>
      <c r="G172">
        <v>315811.50229999999</v>
      </c>
      <c r="H172">
        <v>2508.0911999999998</v>
      </c>
      <c r="I172">
        <v>2974.5</v>
      </c>
      <c r="J172">
        <v>1.1000000000000001</v>
      </c>
      <c r="K172">
        <v>315812</v>
      </c>
      <c r="L172">
        <v>1.1000000000000001</v>
      </c>
      <c r="M172">
        <v>1.7</v>
      </c>
      <c r="N172" s="3" t="s">
        <v>34</v>
      </c>
      <c r="O172">
        <v>0</v>
      </c>
      <c r="P172" s="3" t="s">
        <v>35</v>
      </c>
    </row>
    <row r="173" spans="1:16" x14ac:dyDescent="0.25">
      <c r="A173" s="3" t="s">
        <v>126</v>
      </c>
      <c r="B173" s="3" t="s">
        <v>31</v>
      </c>
      <c r="C173">
        <v>47</v>
      </c>
      <c r="D173" s="3" t="s">
        <v>203</v>
      </c>
      <c r="E173" s="3" t="s">
        <v>204</v>
      </c>
      <c r="F173">
        <v>53916</v>
      </c>
      <c r="G173">
        <v>308183.4559</v>
      </c>
      <c r="H173">
        <v>14.6495</v>
      </c>
      <c r="I173">
        <v>4.5199999999999996</v>
      </c>
      <c r="J173">
        <v>1</v>
      </c>
      <c r="K173">
        <v>308183</v>
      </c>
      <c r="L173">
        <v>1</v>
      </c>
      <c r="M173">
        <v>0</v>
      </c>
      <c r="N173" s="3" t="s">
        <v>34</v>
      </c>
      <c r="O173">
        <v>0</v>
      </c>
      <c r="P173" s="3" t="s">
        <v>35</v>
      </c>
    </row>
    <row r="174" spans="1:16" x14ac:dyDescent="0.25">
      <c r="A174" s="3" t="s">
        <v>126</v>
      </c>
      <c r="B174" s="3" t="s">
        <v>31</v>
      </c>
      <c r="C174">
        <v>48</v>
      </c>
      <c r="D174" s="3" t="s">
        <v>314</v>
      </c>
      <c r="E174" s="3" t="s">
        <v>315</v>
      </c>
      <c r="F174">
        <v>441</v>
      </c>
      <c r="G174">
        <v>239884.2507</v>
      </c>
      <c r="H174">
        <v>208.77269999999999</v>
      </c>
      <c r="I174">
        <v>430.16992199999999</v>
      </c>
      <c r="J174">
        <v>0.8</v>
      </c>
      <c r="K174">
        <v>239884</v>
      </c>
      <c r="L174">
        <v>0.8</v>
      </c>
      <c r="M174">
        <v>0</v>
      </c>
      <c r="N174" s="3" t="s">
        <v>34</v>
      </c>
      <c r="O174">
        <v>0</v>
      </c>
      <c r="P174" s="3" t="s">
        <v>35</v>
      </c>
    </row>
    <row r="175" spans="1:16" x14ac:dyDescent="0.25">
      <c r="A175" s="3" t="s">
        <v>126</v>
      </c>
      <c r="B175" s="3" t="s">
        <v>31</v>
      </c>
      <c r="C175">
        <v>49</v>
      </c>
      <c r="D175" s="3" t="s">
        <v>316</v>
      </c>
      <c r="E175" s="3" t="s">
        <v>317</v>
      </c>
      <c r="F175">
        <v>798</v>
      </c>
      <c r="G175">
        <v>199821.94440000001</v>
      </c>
      <c r="H175">
        <v>159.7688</v>
      </c>
      <c r="I175">
        <v>198.009995</v>
      </c>
      <c r="J175">
        <v>0.7</v>
      </c>
      <c r="K175">
        <v>199822</v>
      </c>
      <c r="L175">
        <v>0.7</v>
      </c>
      <c r="M175">
        <v>1.8</v>
      </c>
      <c r="N175" s="3" t="s">
        <v>34</v>
      </c>
      <c r="O175">
        <v>0</v>
      </c>
      <c r="P175" s="3" t="s">
        <v>35</v>
      </c>
    </row>
    <row r="176" spans="1:16" x14ac:dyDescent="0.25">
      <c r="A176" s="3" t="s">
        <v>126</v>
      </c>
      <c r="B176" s="3" t="s">
        <v>31</v>
      </c>
      <c r="C176">
        <v>50</v>
      </c>
      <c r="D176" s="3" t="s">
        <v>318</v>
      </c>
      <c r="E176" s="3" t="s">
        <v>319</v>
      </c>
      <c r="F176">
        <v>344</v>
      </c>
      <c r="G176">
        <v>97541.084000000003</v>
      </c>
      <c r="H176">
        <v>140.8528</v>
      </c>
      <c r="I176">
        <v>191.300003</v>
      </c>
      <c r="J176">
        <v>0.3</v>
      </c>
      <c r="K176">
        <v>97541</v>
      </c>
      <c r="L176">
        <v>0.3</v>
      </c>
      <c r="M176">
        <v>1.6</v>
      </c>
      <c r="N176" s="3" t="s">
        <v>34</v>
      </c>
      <c r="O176">
        <v>0</v>
      </c>
      <c r="P176" s="3" t="s">
        <v>35</v>
      </c>
    </row>
    <row r="177" spans="1:16" x14ac:dyDescent="0.25">
      <c r="A177" s="3" t="s">
        <v>126</v>
      </c>
      <c r="B177" s="3" t="s">
        <v>31</v>
      </c>
      <c r="C177">
        <v>51</v>
      </c>
      <c r="D177" s="3" t="s">
        <v>226</v>
      </c>
      <c r="E177" s="3" t="s">
        <v>227</v>
      </c>
      <c r="F177">
        <v>38</v>
      </c>
      <c r="G177">
        <v>7410.05</v>
      </c>
      <c r="H177">
        <v>136.13310000000001</v>
      </c>
      <c r="I177">
        <v>154.199997</v>
      </c>
      <c r="J177">
        <v>0</v>
      </c>
      <c r="K177">
        <v>7410</v>
      </c>
      <c r="L177">
        <v>0</v>
      </c>
      <c r="M177">
        <v>2.8</v>
      </c>
      <c r="N177" s="3" t="s">
        <v>34</v>
      </c>
      <c r="O177">
        <v>0</v>
      </c>
      <c r="P177" s="3" t="s">
        <v>35</v>
      </c>
    </row>
    <row r="178" spans="1:16" x14ac:dyDescent="0.25">
      <c r="A178" s="3" t="s">
        <v>126</v>
      </c>
      <c r="B178" s="3" t="s">
        <v>73</v>
      </c>
      <c r="C178">
        <v>1</v>
      </c>
      <c r="D178" s="3" t="s">
        <v>232</v>
      </c>
      <c r="E178" s="3" t="s">
        <v>233</v>
      </c>
      <c r="F178">
        <v>1000</v>
      </c>
      <c r="G178">
        <v>536190.37109999999</v>
      </c>
      <c r="H178">
        <v>5.4710000000000001</v>
      </c>
      <c r="I178">
        <v>4.24</v>
      </c>
      <c r="J178">
        <v>1.8</v>
      </c>
      <c r="K178">
        <v>536190</v>
      </c>
      <c r="L178">
        <v>1.8</v>
      </c>
      <c r="M178">
        <v>0</v>
      </c>
      <c r="N178" s="3" t="s">
        <v>77</v>
      </c>
      <c r="O178">
        <v>440</v>
      </c>
      <c r="P178" s="3" t="s">
        <v>78</v>
      </c>
    </row>
    <row r="179" spans="1:16" x14ac:dyDescent="0.25">
      <c r="A179" s="3" t="s">
        <v>126</v>
      </c>
      <c r="B179" s="3" t="s">
        <v>73</v>
      </c>
      <c r="C179">
        <v>2</v>
      </c>
      <c r="D179" s="3" t="s">
        <v>304</v>
      </c>
      <c r="E179" s="3" t="s">
        <v>196</v>
      </c>
      <c r="F179">
        <v>200</v>
      </c>
      <c r="G179">
        <v>78405.209600000002</v>
      </c>
      <c r="H179">
        <v>13.41</v>
      </c>
      <c r="I179">
        <v>3.1</v>
      </c>
      <c r="J179">
        <v>0.3</v>
      </c>
      <c r="K179">
        <v>78405</v>
      </c>
      <c r="L179">
        <v>0.3</v>
      </c>
      <c r="M179">
        <v>0</v>
      </c>
      <c r="N179" s="3" t="s">
        <v>84</v>
      </c>
      <c r="O179">
        <v>180</v>
      </c>
      <c r="P179" s="3" t="s">
        <v>115</v>
      </c>
    </row>
    <row r="180" spans="1:16" x14ac:dyDescent="0.25">
      <c r="A180" s="3" t="s">
        <v>126</v>
      </c>
      <c r="B180" s="3" t="s">
        <v>73</v>
      </c>
      <c r="C180">
        <v>3</v>
      </c>
      <c r="D180" s="3" t="s">
        <v>320</v>
      </c>
      <c r="E180" s="3" t="s">
        <v>167</v>
      </c>
      <c r="F180">
        <v>155</v>
      </c>
      <c r="G180">
        <v>57431.815000000002</v>
      </c>
      <c r="H180">
        <v>4.5999999999999996</v>
      </c>
      <c r="I180">
        <v>2.93</v>
      </c>
      <c r="J180">
        <v>0.2</v>
      </c>
      <c r="K180">
        <v>57432</v>
      </c>
      <c r="L180">
        <v>0.2</v>
      </c>
      <c r="M180">
        <v>0</v>
      </c>
      <c r="N180" s="3" t="s">
        <v>84</v>
      </c>
      <c r="O180">
        <v>100</v>
      </c>
      <c r="P180" s="3" t="s">
        <v>115</v>
      </c>
    </row>
    <row r="181" spans="1:16" x14ac:dyDescent="0.25">
      <c r="A181" s="3" t="s">
        <v>126</v>
      </c>
      <c r="B181" s="3" t="s">
        <v>73</v>
      </c>
      <c r="C181">
        <v>4</v>
      </c>
      <c r="D181" s="3" t="s">
        <v>321</v>
      </c>
      <c r="E181" s="3" t="s">
        <v>200</v>
      </c>
      <c r="F181">
        <v>50</v>
      </c>
      <c r="G181">
        <v>30350.4012</v>
      </c>
      <c r="H181">
        <v>14.2</v>
      </c>
      <c r="I181">
        <v>4.8</v>
      </c>
      <c r="J181">
        <v>0.1</v>
      </c>
      <c r="K181">
        <v>30350</v>
      </c>
      <c r="L181">
        <v>0.1</v>
      </c>
      <c r="M181">
        <v>0</v>
      </c>
      <c r="N181" s="3" t="s">
        <v>84</v>
      </c>
      <c r="O181">
        <v>300</v>
      </c>
      <c r="P181" s="3" t="s">
        <v>115</v>
      </c>
    </row>
    <row r="182" spans="1:16" x14ac:dyDescent="0.25">
      <c r="A182" s="3" t="s">
        <v>126</v>
      </c>
      <c r="B182" s="3" t="s">
        <v>73</v>
      </c>
      <c r="C182">
        <v>5</v>
      </c>
      <c r="D182" s="3" t="s">
        <v>234</v>
      </c>
      <c r="E182" s="3" t="s">
        <v>233</v>
      </c>
      <c r="F182">
        <v>1200</v>
      </c>
      <c r="G182">
        <v>12140.16</v>
      </c>
      <c r="H182">
        <v>5.8238000000000003</v>
      </c>
      <c r="I182">
        <v>0.08</v>
      </c>
      <c r="J182">
        <v>0</v>
      </c>
      <c r="K182">
        <v>12140</v>
      </c>
      <c r="L182">
        <v>0</v>
      </c>
      <c r="M182">
        <v>0</v>
      </c>
      <c r="N182" s="3" t="s">
        <v>77</v>
      </c>
      <c r="O182">
        <v>430</v>
      </c>
      <c r="P182" s="3" t="s">
        <v>80</v>
      </c>
    </row>
    <row r="183" spans="1:16" x14ac:dyDescent="0.25">
      <c r="A183" s="3" t="s">
        <v>126</v>
      </c>
      <c r="B183" s="3" t="s">
        <v>73</v>
      </c>
      <c r="C183">
        <v>6</v>
      </c>
      <c r="D183" s="3" t="s">
        <v>308</v>
      </c>
      <c r="E183" s="3" t="s">
        <v>204</v>
      </c>
      <c r="F183">
        <v>960</v>
      </c>
      <c r="G183">
        <v>6070.08</v>
      </c>
      <c r="H183">
        <v>1.9242999999999999</v>
      </c>
      <c r="I183">
        <v>0.05</v>
      </c>
      <c r="J183">
        <v>0</v>
      </c>
      <c r="K183">
        <v>6070</v>
      </c>
      <c r="L183">
        <v>0</v>
      </c>
      <c r="M183">
        <v>0</v>
      </c>
      <c r="N183" s="3" t="s">
        <v>84</v>
      </c>
      <c r="O183">
        <v>32.5</v>
      </c>
      <c r="P183" s="3" t="s">
        <v>122</v>
      </c>
    </row>
    <row r="184" spans="1:16" x14ac:dyDescent="0.25">
      <c r="A184" s="3" t="s">
        <v>126</v>
      </c>
      <c r="B184" s="3" t="s">
        <v>73</v>
      </c>
      <c r="C184">
        <v>7</v>
      </c>
      <c r="D184" s="3" t="s">
        <v>235</v>
      </c>
      <c r="E184" s="3" t="s">
        <v>233</v>
      </c>
      <c r="F184">
        <v>500</v>
      </c>
      <c r="G184">
        <v>1896.9</v>
      </c>
      <c r="H184">
        <v>4.7324999999999999</v>
      </c>
      <c r="I184">
        <v>0.03</v>
      </c>
      <c r="J184">
        <v>0</v>
      </c>
      <c r="K184">
        <v>1897</v>
      </c>
      <c r="L184">
        <v>0</v>
      </c>
      <c r="M184">
        <v>0</v>
      </c>
      <c r="N184" s="3" t="s">
        <v>77</v>
      </c>
      <c r="O184">
        <v>425</v>
      </c>
      <c r="P184" s="3" t="s">
        <v>82</v>
      </c>
    </row>
    <row r="185" spans="1:16" x14ac:dyDescent="0.25">
      <c r="A185" s="3" t="s">
        <v>126</v>
      </c>
      <c r="B185" s="3" t="s">
        <v>73</v>
      </c>
      <c r="C185">
        <v>8</v>
      </c>
      <c r="D185" s="3" t="s">
        <v>309</v>
      </c>
      <c r="E185" s="3" t="s">
        <v>196</v>
      </c>
      <c r="F185">
        <v>70</v>
      </c>
      <c r="G185">
        <v>88.522000000000006</v>
      </c>
      <c r="H185">
        <v>6.45</v>
      </c>
      <c r="I185">
        <v>0.01</v>
      </c>
      <c r="J185">
        <v>0</v>
      </c>
      <c r="K185">
        <v>89</v>
      </c>
      <c r="L185">
        <v>0</v>
      </c>
      <c r="M185">
        <v>0</v>
      </c>
      <c r="N185" s="3" t="s">
        <v>84</v>
      </c>
      <c r="O185">
        <v>230</v>
      </c>
      <c r="P185" s="3" t="s">
        <v>80</v>
      </c>
    </row>
    <row r="186" spans="1:16" x14ac:dyDescent="0.25">
      <c r="A186" s="3" t="s">
        <v>126</v>
      </c>
      <c r="B186" s="3" t="s">
        <v>73</v>
      </c>
      <c r="C186">
        <v>9</v>
      </c>
      <c r="D186" s="3" t="s">
        <v>238</v>
      </c>
      <c r="E186" s="3" t="s">
        <v>177</v>
      </c>
      <c r="F186">
        <v>-14</v>
      </c>
      <c r="G186">
        <v>-17.7044</v>
      </c>
      <c r="H186">
        <v>2.4</v>
      </c>
      <c r="I186">
        <v>0.01</v>
      </c>
      <c r="J186">
        <v>0</v>
      </c>
      <c r="K186">
        <v>-18</v>
      </c>
      <c r="L186">
        <v>0</v>
      </c>
      <c r="M186">
        <v>0</v>
      </c>
      <c r="N186" s="3" t="s">
        <v>84</v>
      </c>
      <c r="O186">
        <v>255</v>
      </c>
      <c r="P186" s="3" t="s">
        <v>80</v>
      </c>
    </row>
    <row r="187" spans="1:16" x14ac:dyDescent="0.25">
      <c r="A187" s="3" t="s">
        <v>126</v>
      </c>
      <c r="B187" s="3" t="s">
        <v>73</v>
      </c>
      <c r="C187">
        <v>10</v>
      </c>
      <c r="D187" s="3" t="s">
        <v>239</v>
      </c>
      <c r="E187" s="3" t="s">
        <v>141</v>
      </c>
      <c r="F187">
        <v>-19</v>
      </c>
      <c r="G187">
        <v>-24.0274</v>
      </c>
      <c r="H187">
        <v>3.8</v>
      </c>
      <c r="I187">
        <v>0.01</v>
      </c>
      <c r="J187">
        <v>0</v>
      </c>
      <c r="K187">
        <v>-24</v>
      </c>
      <c r="L187">
        <v>0</v>
      </c>
      <c r="M187">
        <v>0</v>
      </c>
      <c r="N187" s="3" t="s">
        <v>84</v>
      </c>
      <c r="O187">
        <v>380</v>
      </c>
      <c r="P187" s="3" t="s">
        <v>80</v>
      </c>
    </row>
    <row r="188" spans="1:16" x14ac:dyDescent="0.25">
      <c r="A188" s="3" t="s">
        <v>126</v>
      </c>
      <c r="B188" s="3" t="s">
        <v>73</v>
      </c>
      <c r="C188">
        <v>11</v>
      </c>
      <c r="D188" s="3" t="s">
        <v>241</v>
      </c>
      <c r="E188" s="3" t="s">
        <v>198</v>
      </c>
      <c r="F188">
        <v>-6</v>
      </c>
      <c r="G188">
        <v>-37.938000000000002</v>
      </c>
      <c r="H188">
        <v>7</v>
      </c>
      <c r="I188">
        <v>0.05</v>
      </c>
      <c r="J188">
        <v>0</v>
      </c>
      <c r="K188">
        <v>-38</v>
      </c>
      <c r="L188">
        <v>0</v>
      </c>
      <c r="M188">
        <v>0</v>
      </c>
      <c r="N188" s="3" t="s">
        <v>84</v>
      </c>
      <c r="O188">
        <v>520</v>
      </c>
      <c r="P188" s="3" t="s">
        <v>80</v>
      </c>
    </row>
    <row r="189" spans="1:16" x14ac:dyDescent="0.25">
      <c r="A189" s="3" t="s">
        <v>126</v>
      </c>
      <c r="B189" s="3" t="s">
        <v>73</v>
      </c>
      <c r="C189">
        <v>12</v>
      </c>
      <c r="D189" s="3" t="s">
        <v>240</v>
      </c>
      <c r="E189" s="3" t="s">
        <v>137</v>
      </c>
      <c r="F189">
        <v>-34</v>
      </c>
      <c r="G189">
        <v>-42.996400000000001</v>
      </c>
      <c r="H189">
        <v>1.95</v>
      </c>
      <c r="I189">
        <v>0.01</v>
      </c>
      <c r="J189">
        <v>0</v>
      </c>
      <c r="K189">
        <v>-43</v>
      </c>
      <c r="L189">
        <v>0</v>
      </c>
      <c r="M189">
        <v>0</v>
      </c>
      <c r="N189" s="3" t="s">
        <v>84</v>
      </c>
      <c r="O189">
        <v>290</v>
      </c>
      <c r="P189" s="3" t="s">
        <v>80</v>
      </c>
    </row>
    <row r="190" spans="1:16" x14ac:dyDescent="0.25">
      <c r="A190" s="3" t="s">
        <v>126</v>
      </c>
      <c r="B190" s="3" t="s">
        <v>73</v>
      </c>
      <c r="C190">
        <v>13</v>
      </c>
      <c r="D190" s="3" t="s">
        <v>322</v>
      </c>
      <c r="E190" s="3" t="s">
        <v>306</v>
      </c>
      <c r="F190">
        <v>-58</v>
      </c>
      <c r="G190">
        <v>-73.346800000000002</v>
      </c>
      <c r="H190">
        <v>1.3335999999999999</v>
      </c>
      <c r="I190">
        <v>0.01</v>
      </c>
      <c r="J190">
        <v>0</v>
      </c>
      <c r="K190">
        <v>-73</v>
      </c>
      <c r="L190">
        <v>0</v>
      </c>
      <c r="M190">
        <v>0</v>
      </c>
      <c r="N190" s="3" t="s">
        <v>84</v>
      </c>
      <c r="O190">
        <v>165</v>
      </c>
      <c r="P190" s="3" t="s">
        <v>80</v>
      </c>
    </row>
    <row r="191" spans="1:16" x14ac:dyDescent="0.25">
      <c r="A191" s="3" t="s">
        <v>126</v>
      </c>
      <c r="B191" s="3" t="s">
        <v>73</v>
      </c>
      <c r="C191">
        <v>14</v>
      </c>
      <c r="D191" s="3" t="s">
        <v>242</v>
      </c>
      <c r="E191" s="3" t="s">
        <v>157</v>
      </c>
      <c r="F191">
        <v>-25</v>
      </c>
      <c r="G191">
        <v>-126.46</v>
      </c>
      <c r="H191">
        <v>2.2999999999999998</v>
      </c>
      <c r="I191">
        <v>0.04</v>
      </c>
      <c r="J191">
        <v>0</v>
      </c>
      <c r="K191">
        <v>-126</v>
      </c>
      <c r="L191">
        <v>0</v>
      </c>
      <c r="M191">
        <v>0</v>
      </c>
      <c r="N191" s="3" t="s">
        <v>84</v>
      </c>
      <c r="O191">
        <v>280</v>
      </c>
      <c r="P191" s="3" t="s">
        <v>80</v>
      </c>
    </row>
    <row r="192" spans="1:16" x14ac:dyDescent="0.25">
      <c r="A192" s="3" t="s">
        <v>126</v>
      </c>
      <c r="B192" s="3" t="s">
        <v>73</v>
      </c>
      <c r="C192">
        <v>15</v>
      </c>
      <c r="D192" s="3" t="s">
        <v>323</v>
      </c>
      <c r="E192" s="3" t="s">
        <v>233</v>
      </c>
      <c r="F192">
        <v>-200</v>
      </c>
      <c r="G192">
        <v>-252.92</v>
      </c>
      <c r="H192">
        <v>6.0686</v>
      </c>
      <c r="I192">
        <v>0.01</v>
      </c>
      <c r="J192">
        <v>0</v>
      </c>
      <c r="K192">
        <v>-253</v>
      </c>
      <c r="L192">
        <v>0</v>
      </c>
      <c r="M192">
        <v>0</v>
      </c>
      <c r="N192" s="3" t="s">
        <v>77</v>
      </c>
      <c r="O192">
        <v>415</v>
      </c>
      <c r="P192" s="3" t="s">
        <v>80</v>
      </c>
    </row>
    <row r="193" spans="1:16" x14ac:dyDescent="0.25">
      <c r="A193" s="3" t="s">
        <v>126</v>
      </c>
      <c r="B193" s="3" t="s">
        <v>73</v>
      </c>
      <c r="C193">
        <v>16</v>
      </c>
      <c r="D193" s="3" t="s">
        <v>245</v>
      </c>
      <c r="E193" s="3" t="s">
        <v>190</v>
      </c>
      <c r="F193">
        <v>-23</v>
      </c>
      <c r="G193">
        <v>-290.858</v>
      </c>
      <c r="H193">
        <v>2</v>
      </c>
      <c r="I193">
        <v>0.1</v>
      </c>
      <c r="J193">
        <v>0</v>
      </c>
      <c r="K193">
        <v>-291</v>
      </c>
      <c r="L193">
        <v>0</v>
      </c>
      <c r="M193">
        <v>0</v>
      </c>
      <c r="N193" s="3" t="s">
        <v>84</v>
      </c>
      <c r="O193">
        <v>185</v>
      </c>
      <c r="P193" s="3" t="s">
        <v>80</v>
      </c>
    </row>
    <row r="194" spans="1:16" x14ac:dyDescent="0.25">
      <c r="A194" s="3" t="s">
        <v>126</v>
      </c>
      <c r="B194" s="3" t="s">
        <v>73</v>
      </c>
      <c r="C194">
        <v>17</v>
      </c>
      <c r="D194" s="3" t="s">
        <v>248</v>
      </c>
      <c r="E194" s="3" t="s">
        <v>233</v>
      </c>
      <c r="F194">
        <v>-500</v>
      </c>
      <c r="G194">
        <v>-632.29999999999995</v>
      </c>
      <c r="H194">
        <v>1.923</v>
      </c>
      <c r="I194">
        <v>0.01</v>
      </c>
      <c r="J194">
        <v>0</v>
      </c>
      <c r="K194">
        <v>-632</v>
      </c>
      <c r="L194">
        <v>0</v>
      </c>
      <c r="M194">
        <v>0</v>
      </c>
      <c r="N194" s="3" t="s">
        <v>77</v>
      </c>
      <c r="O194">
        <v>400</v>
      </c>
      <c r="P194" s="3" t="s">
        <v>82</v>
      </c>
    </row>
    <row r="195" spans="1:16" x14ac:dyDescent="0.25">
      <c r="A195" s="3" t="s">
        <v>126</v>
      </c>
      <c r="B195" s="3" t="s">
        <v>73</v>
      </c>
      <c r="C195">
        <v>18</v>
      </c>
      <c r="D195" s="3" t="s">
        <v>249</v>
      </c>
      <c r="E195" s="3" t="s">
        <v>182</v>
      </c>
      <c r="F195">
        <v>-11</v>
      </c>
      <c r="G195">
        <v>-904.18899999999996</v>
      </c>
      <c r="H195">
        <v>2.35</v>
      </c>
      <c r="I195">
        <v>0.5</v>
      </c>
      <c r="J195">
        <v>0</v>
      </c>
      <c r="K195">
        <v>-904</v>
      </c>
      <c r="L195">
        <v>0</v>
      </c>
      <c r="M195">
        <v>0</v>
      </c>
      <c r="N195" s="3" t="s">
        <v>84</v>
      </c>
      <c r="O195">
        <v>300</v>
      </c>
      <c r="P195" s="3" t="s">
        <v>78</v>
      </c>
    </row>
    <row r="196" spans="1:16" x14ac:dyDescent="0.25">
      <c r="A196" s="3" t="s">
        <v>126</v>
      </c>
      <c r="B196" s="3" t="s">
        <v>73</v>
      </c>
      <c r="C196">
        <v>19</v>
      </c>
      <c r="D196" s="3" t="s">
        <v>250</v>
      </c>
      <c r="E196" s="3" t="s">
        <v>233</v>
      </c>
      <c r="F196">
        <v>-1000</v>
      </c>
      <c r="G196">
        <v>-1264.5999999999999</v>
      </c>
      <c r="H196">
        <v>2.625</v>
      </c>
      <c r="I196">
        <v>0.01</v>
      </c>
      <c r="J196">
        <v>0</v>
      </c>
      <c r="K196">
        <v>-1265</v>
      </c>
      <c r="L196">
        <v>0</v>
      </c>
      <c r="M196">
        <v>0</v>
      </c>
      <c r="N196" s="3" t="s">
        <v>77</v>
      </c>
      <c r="O196">
        <v>410</v>
      </c>
      <c r="P196" s="3" t="s">
        <v>80</v>
      </c>
    </row>
    <row r="197" spans="1:16" x14ac:dyDescent="0.25">
      <c r="A197" s="3" t="s">
        <v>126</v>
      </c>
      <c r="B197" s="3" t="s">
        <v>73</v>
      </c>
      <c r="C197">
        <v>20</v>
      </c>
      <c r="D197" s="3" t="s">
        <v>253</v>
      </c>
      <c r="E197" s="3" t="s">
        <v>233</v>
      </c>
      <c r="F197">
        <v>-1000</v>
      </c>
      <c r="G197">
        <v>-121401.59729999999</v>
      </c>
      <c r="H197">
        <v>5.2012999999999998</v>
      </c>
      <c r="I197">
        <v>0.94</v>
      </c>
      <c r="J197">
        <v>-0.4</v>
      </c>
      <c r="K197">
        <v>-121402</v>
      </c>
      <c r="L197">
        <v>-0.4</v>
      </c>
      <c r="M197">
        <v>0</v>
      </c>
      <c r="N197" s="3" t="s">
        <v>77</v>
      </c>
      <c r="O197">
        <v>410</v>
      </c>
      <c r="P197" s="3" t="s">
        <v>78</v>
      </c>
    </row>
    <row r="198" spans="1:16" x14ac:dyDescent="0.25">
      <c r="A198" s="3" t="s">
        <v>126</v>
      </c>
      <c r="B198" s="3" t="s">
        <v>102</v>
      </c>
      <c r="C198">
        <v>1</v>
      </c>
      <c r="D198" s="3" t="s">
        <v>256</v>
      </c>
      <c r="E198" s="3" t="s">
        <v>257</v>
      </c>
      <c r="F198">
        <v>124305</v>
      </c>
      <c r="G198">
        <v>124305.4</v>
      </c>
      <c r="H198">
        <v>1</v>
      </c>
      <c r="I198">
        <v>0</v>
      </c>
      <c r="J198">
        <v>0.4</v>
      </c>
      <c r="K198">
        <v>124305</v>
      </c>
      <c r="L198">
        <v>0.4</v>
      </c>
      <c r="M198">
        <v>0</v>
      </c>
      <c r="N198" s="3" t="s">
        <v>34</v>
      </c>
      <c r="O198">
        <v>0</v>
      </c>
      <c r="P198" s="3" t="s">
        <v>35</v>
      </c>
    </row>
    <row r="199" spans="1:16" x14ac:dyDescent="0.25">
      <c r="A199" s="3" t="s">
        <v>126</v>
      </c>
      <c r="B199" s="3" t="s">
        <v>102</v>
      </c>
      <c r="C199">
        <v>2</v>
      </c>
      <c r="D199" s="3" t="s">
        <v>260</v>
      </c>
      <c r="E199" s="3" t="s">
        <v>261</v>
      </c>
      <c r="F199">
        <v>20000000</v>
      </c>
      <c r="G199">
        <v>41299.638099999996</v>
      </c>
      <c r="H199">
        <v>1.04</v>
      </c>
      <c r="I199">
        <v>0.20649799999999999</v>
      </c>
      <c r="J199">
        <v>0.1</v>
      </c>
      <c r="K199">
        <v>41300</v>
      </c>
      <c r="L199">
        <v>0.1</v>
      </c>
      <c r="M199">
        <v>0</v>
      </c>
      <c r="N199" s="3" t="s">
        <v>34</v>
      </c>
      <c r="O199">
        <v>0</v>
      </c>
      <c r="P199" s="3" t="s">
        <v>35</v>
      </c>
    </row>
    <row r="200" spans="1:16" x14ac:dyDescent="0.25">
      <c r="A200" s="3" t="s">
        <v>126</v>
      </c>
      <c r="B200" s="3" t="s">
        <v>102</v>
      </c>
      <c r="C200">
        <v>3</v>
      </c>
      <c r="D200" s="3" t="s">
        <v>258</v>
      </c>
      <c r="E200" s="3" t="s">
        <v>259</v>
      </c>
      <c r="F200">
        <v>5601</v>
      </c>
      <c r="G200">
        <v>7083.3154999999997</v>
      </c>
      <c r="H200">
        <v>1</v>
      </c>
      <c r="I200">
        <v>0</v>
      </c>
      <c r="J200">
        <v>0</v>
      </c>
      <c r="K200">
        <v>7083</v>
      </c>
      <c r="L200">
        <v>0</v>
      </c>
      <c r="M200">
        <v>0</v>
      </c>
      <c r="N200" s="3" t="s">
        <v>34</v>
      </c>
      <c r="O200">
        <v>0</v>
      </c>
      <c r="P200" s="3" t="s">
        <v>35</v>
      </c>
    </row>
    <row r="201" spans="1:16" x14ac:dyDescent="0.25">
      <c r="A201" s="3" t="s">
        <v>126</v>
      </c>
      <c r="B201" s="3" t="s">
        <v>102</v>
      </c>
      <c r="C201">
        <v>4</v>
      </c>
      <c r="D201" s="3" t="s">
        <v>258</v>
      </c>
      <c r="E201" s="3" t="s">
        <v>259</v>
      </c>
      <c r="F201">
        <v>-111463</v>
      </c>
      <c r="G201">
        <v>-140955.9454</v>
      </c>
      <c r="H201">
        <v>1</v>
      </c>
      <c r="I201">
        <v>0</v>
      </c>
      <c r="J201">
        <v>-0.5</v>
      </c>
      <c r="K201">
        <v>-140956</v>
      </c>
      <c r="L201">
        <v>-0.5</v>
      </c>
      <c r="M201">
        <v>0</v>
      </c>
      <c r="N201" s="3" t="s">
        <v>34</v>
      </c>
      <c r="O201">
        <v>0</v>
      </c>
      <c r="P201" s="3" t="s">
        <v>35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1C8CF-9FDE-444B-B0FB-EAEDEE248388}">
  <sheetPr codeName="Sheet7"/>
  <dimension ref="A1:AJ181"/>
  <sheetViews>
    <sheetView topLeftCell="A149" workbookViewId="0">
      <selection activeCell="A2" sqref="A2:A179"/>
    </sheetView>
  </sheetViews>
  <sheetFormatPr defaultRowHeight="15.75" x14ac:dyDescent="0.25"/>
  <cols>
    <col min="1" max="1" width="9.25" bestFit="1" customWidth="1"/>
    <col min="2" max="2" width="15.375" bestFit="1" customWidth="1"/>
    <col min="3" max="3" width="19.5" bestFit="1" customWidth="1"/>
    <col min="4" max="4" width="17.25" bestFit="1" customWidth="1"/>
    <col min="5" max="5" width="10.875" bestFit="1" customWidth="1"/>
    <col min="6" max="6" width="12.25" bestFit="1" customWidth="1"/>
    <col min="7" max="7" width="11.25" bestFit="1" customWidth="1"/>
    <col min="8" max="8" width="11.625" bestFit="1" customWidth="1"/>
    <col min="9" max="9" width="8.25" bestFit="1" customWidth="1"/>
    <col min="10" max="10" width="22.5" bestFit="1" customWidth="1"/>
    <col min="11" max="11" width="7.875" bestFit="1" customWidth="1"/>
    <col min="12" max="12" width="11.625" bestFit="1" customWidth="1"/>
    <col min="13" max="13" width="13.375" bestFit="1" customWidth="1"/>
    <col min="14" max="14" width="12.375" bestFit="1" customWidth="1"/>
    <col min="15" max="15" width="41.375" bestFit="1" customWidth="1"/>
    <col min="16" max="16" width="10.5" bestFit="1" customWidth="1"/>
    <col min="17" max="17" width="11" bestFit="1" customWidth="1"/>
    <col min="18" max="18" width="12.25" bestFit="1" customWidth="1"/>
    <col min="19" max="19" width="15.875" bestFit="1" customWidth="1"/>
    <col min="20" max="20" width="10.875" bestFit="1" customWidth="1"/>
    <col min="21" max="21" width="18.75" bestFit="1" customWidth="1"/>
    <col min="22" max="22" width="16.875" bestFit="1" customWidth="1"/>
    <col min="23" max="23" width="32.25" bestFit="1" customWidth="1"/>
    <col min="24" max="24" width="16.625" bestFit="1" customWidth="1"/>
    <col min="25" max="25" width="14.75" bestFit="1" customWidth="1"/>
    <col min="26" max="26" width="14.5" bestFit="1" customWidth="1"/>
    <col min="27" max="27" width="15.375" bestFit="1" customWidth="1"/>
    <col min="28" max="28" width="14.125" bestFit="1" customWidth="1"/>
    <col min="29" max="29" width="17.25" bestFit="1" customWidth="1"/>
    <col min="30" max="30" width="19.125" bestFit="1" customWidth="1"/>
    <col min="31" max="31" width="17" bestFit="1" customWidth="1"/>
    <col min="32" max="32" width="18.25" bestFit="1" customWidth="1"/>
    <col min="33" max="33" width="15.25" bestFit="1" customWidth="1"/>
    <col min="34" max="34" width="10.375" bestFit="1" customWidth="1"/>
    <col min="35" max="35" width="9.875" bestFit="1" customWidth="1"/>
    <col min="36" max="36" width="4.875" bestFit="1" customWidth="1"/>
  </cols>
  <sheetData>
    <row r="1" spans="1:36" x14ac:dyDescent="0.25">
      <c r="A1" t="s">
        <v>324</v>
      </c>
      <c r="B1" t="s">
        <v>325</v>
      </c>
      <c r="C1" t="s">
        <v>326</v>
      </c>
      <c r="D1" t="s">
        <v>327</v>
      </c>
      <c r="E1" t="s">
        <v>328</v>
      </c>
      <c r="F1" t="s">
        <v>329</v>
      </c>
      <c r="G1" t="s">
        <v>330</v>
      </c>
      <c r="H1" t="s">
        <v>331</v>
      </c>
      <c r="I1" t="s">
        <v>332</v>
      </c>
      <c r="J1" t="s">
        <v>333</v>
      </c>
      <c r="K1" t="s">
        <v>334</v>
      </c>
      <c r="L1" t="s">
        <v>335</v>
      </c>
      <c r="M1" t="s">
        <v>336</v>
      </c>
      <c r="N1" t="s">
        <v>337</v>
      </c>
      <c r="O1" t="s">
        <v>338</v>
      </c>
      <c r="P1" t="s">
        <v>339</v>
      </c>
      <c r="Q1" t="s">
        <v>340</v>
      </c>
      <c r="R1" t="s">
        <v>341</v>
      </c>
      <c r="S1" t="s">
        <v>342</v>
      </c>
      <c r="T1" t="s">
        <v>343</v>
      </c>
      <c r="U1" t="s">
        <v>344</v>
      </c>
      <c r="V1" t="s">
        <v>345</v>
      </c>
      <c r="W1" t="s">
        <v>346</v>
      </c>
      <c r="X1" t="s">
        <v>347</v>
      </c>
      <c r="Y1" t="s">
        <v>348</v>
      </c>
      <c r="Z1" t="s">
        <v>349</v>
      </c>
      <c r="AA1" t="s">
        <v>350</v>
      </c>
      <c r="AB1" t="s">
        <v>351</v>
      </c>
      <c r="AC1" t="s">
        <v>352</v>
      </c>
      <c r="AD1" t="s">
        <v>353</v>
      </c>
      <c r="AE1" t="s">
        <v>354</v>
      </c>
      <c r="AF1" t="s">
        <v>355</v>
      </c>
      <c r="AG1" t="s">
        <v>356</v>
      </c>
      <c r="AH1" t="s">
        <v>134</v>
      </c>
      <c r="AI1" t="s">
        <v>357</v>
      </c>
      <c r="AJ1" t="s">
        <v>358</v>
      </c>
    </row>
    <row r="2" spans="1:36" x14ac:dyDescent="0.25">
      <c r="A2" s="3" t="s">
        <v>359</v>
      </c>
      <c r="B2">
        <v>460.2</v>
      </c>
      <c r="C2" s="3" t="s">
        <v>360</v>
      </c>
      <c r="D2" s="3" t="s">
        <v>360</v>
      </c>
      <c r="E2">
        <v>0.27</v>
      </c>
      <c r="F2">
        <v>0.27</v>
      </c>
      <c r="G2">
        <v>5</v>
      </c>
      <c r="H2" s="3" t="s">
        <v>361</v>
      </c>
      <c r="I2">
        <v>15500</v>
      </c>
      <c r="J2" s="3" t="s">
        <v>34</v>
      </c>
      <c r="O2" s="3" t="s">
        <v>362</v>
      </c>
      <c r="P2" s="3" t="s">
        <v>363</v>
      </c>
      <c r="Q2">
        <v>2147483647</v>
      </c>
      <c r="R2">
        <v>4416235634688</v>
      </c>
      <c r="S2">
        <v>567245.82355299999</v>
      </c>
      <c r="T2" s="3" t="s">
        <v>364</v>
      </c>
      <c r="U2" s="3" t="s">
        <v>365</v>
      </c>
      <c r="V2" s="3" t="s">
        <v>366</v>
      </c>
      <c r="W2" s="3" t="s">
        <v>367</v>
      </c>
      <c r="X2">
        <v>916214.99</v>
      </c>
      <c r="Y2">
        <v>7.7854000000000001</v>
      </c>
      <c r="Z2">
        <v>0</v>
      </c>
      <c r="AA2" s="3" t="s">
        <v>34</v>
      </c>
      <c r="AB2" s="3" t="s">
        <v>34</v>
      </c>
      <c r="AC2" s="3" t="s">
        <v>368</v>
      </c>
      <c r="AD2" s="3" t="s">
        <v>369</v>
      </c>
      <c r="AE2">
        <v>0</v>
      </c>
    </row>
    <row r="3" spans="1:36" x14ac:dyDescent="0.25">
      <c r="A3" s="3" t="s">
        <v>370</v>
      </c>
      <c r="B3">
        <v>2973.5</v>
      </c>
      <c r="C3" s="3" t="s">
        <v>360</v>
      </c>
      <c r="D3" s="3" t="s">
        <v>360</v>
      </c>
      <c r="E3">
        <v>0.87</v>
      </c>
      <c r="F3">
        <v>1</v>
      </c>
      <c r="G3">
        <v>3</v>
      </c>
      <c r="H3" s="3" t="s">
        <v>371</v>
      </c>
      <c r="I3">
        <v>21200</v>
      </c>
      <c r="J3" s="3" t="s">
        <v>34</v>
      </c>
      <c r="O3" s="3" t="s">
        <v>372</v>
      </c>
      <c r="P3" s="3" t="s">
        <v>373</v>
      </c>
      <c r="Q3">
        <v>529177984</v>
      </c>
      <c r="R3">
        <v>1573510709248</v>
      </c>
      <c r="S3">
        <v>14216.115185000001</v>
      </c>
      <c r="T3" s="3" t="s">
        <v>374</v>
      </c>
      <c r="U3" s="3" t="s">
        <v>375</v>
      </c>
      <c r="V3" s="3" t="s">
        <v>366</v>
      </c>
      <c r="W3" s="3" t="s">
        <v>376</v>
      </c>
      <c r="X3">
        <v>569527.93999999994</v>
      </c>
      <c r="Y3">
        <v>110.685</v>
      </c>
      <c r="Z3">
        <v>0</v>
      </c>
      <c r="AA3" s="3" t="s">
        <v>34</v>
      </c>
      <c r="AB3" s="3" t="s">
        <v>34</v>
      </c>
      <c r="AC3" s="3" t="s">
        <v>377</v>
      </c>
      <c r="AD3" s="3" t="s">
        <v>378</v>
      </c>
      <c r="AE3">
        <v>0</v>
      </c>
    </row>
    <row r="4" spans="1:36" x14ac:dyDescent="0.25">
      <c r="A4" s="3" t="s">
        <v>44</v>
      </c>
      <c r="B4">
        <v>146.91999999999999</v>
      </c>
      <c r="C4" s="3" t="s">
        <v>360</v>
      </c>
      <c r="D4" s="3" t="s">
        <v>360</v>
      </c>
      <c r="E4">
        <v>0.32</v>
      </c>
      <c r="F4">
        <v>0.01</v>
      </c>
      <c r="G4">
        <v>4</v>
      </c>
      <c r="H4" s="3" t="s">
        <v>379</v>
      </c>
      <c r="I4">
        <v>6595</v>
      </c>
      <c r="J4" s="3" t="s">
        <v>380</v>
      </c>
      <c r="K4">
        <v>165</v>
      </c>
      <c r="L4">
        <v>1.36</v>
      </c>
      <c r="M4">
        <v>3.2969999999999999E-2</v>
      </c>
      <c r="N4">
        <v>0.12306</v>
      </c>
      <c r="O4" s="3" t="s">
        <v>381</v>
      </c>
      <c r="P4" s="3" t="s">
        <v>105</v>
      </c>
      <c r="Q4">
        <v>2147483647</v>
      </c>
      <c r="R4">
        <v>2428616835072</v>
      </c>
      <c r="S4">
        <v>2428616.835072</v>
      </c>
      <c r="T4" s="3" t="s">
        <v>382</v>
      </c>
      <c r="U4" s="3" t="s">
        <v>383</v>
      </c>
      <c r="V4" s="3" t="s">
        <v>366</v>
      </c>
      <c r="W4" s="3" t="s">
        <v>384</v>
      </c>
      <c r="X4">
        <v>968937.39</v>
      </c>
      <c r="Y4">
        <v>1</v>
      </c>
      <c r="Z4">
        <v>0</v>
      </c>
      <c r="AA4" s="3" t="s">
        <v>34</v>
      </c>
      <c r="AB4" s="3" t="s">
        <v>115</v>
      </c>
      <c r="AC4" s="3" t="s">
        <v>385</v>
      </c>
      <c r="AD4" s="3" t="s">
        <v>386</v>
      </c>
      <c r="AE4">
        <v>0</v>
      </c>
      <c r="AF4">
        <v>18.527992000000001</v>
      </c>
      <c r="AG4">
        <v>53</v>
      </c>
    </row>
    <row r="5" spans="1:36" x14ac:dyDescent="0.25">
      <c r="A5" s="3" t="s">
        <v>91</v>
      </c>
      <c r="B5">
        <v>175.88</v>
      </c>
      <c r="C5" s="3" t="s">
        <v>360</v>
      </c>
      <c r="D5" s="3" t="s">
        <v>360</v>
      </c>
      <c r="E5">
        <v>1</v>
      </c>
      <c r="F5">
        <v>1</v>
      </c>
      <c r="G5">
        <v>3</v>
      </c>
      <c r="H5" s="3" t="s">
        <v>371</v>
      </c>
      <c r="I5">
        <v>0</v>
      </c>
      <c r="J5" s="3" t="s">
        <v>387</v>
      </c>
      <c r="K5">
        <v>220</v>
      </c>
      <c r="L5">
        <v>3.4</v>
      </c>
      <c r="M5">
        <v>4.6364000000000002E-2</v>
      </c>
      <c r="N5">
        <v>0.25085299999999999</v>
      </c>
      <c r="O5" s="3" t="s">
        <v>388</v>
      </c>
      <c r="P5" s="3" t="s">
        <v>105</v>
      </c>
      <c r="Q5">
        <v>336553984</v>
      </c>
      <c r="R5">
        <v>110565736448</v>
      </c>
      <c r="S5">
        <v>110565.736448</v>
      </c>
      <c r="T5" s="3" t="s">
        <v>382</v>
      </c>
      <c r="U5" s="3" t="s">
        <v>389</v>
      </c>
      <c r="V5" s="3" t="s">
        <v>366</v>
      </c>
      <c r="W5" s="3" t="s">
        <v>34</v>
      </c>
      <c r="X5">
        <v>0</v>
      </c>
      <c r="Y5">
        <v>1</v>
      </c>
      <c r="Z5">
        <v>0</v>
      </c>
      <c r="AA5" s="3" t="s">
        <v>34</v>
      </c>
      <c r="AB5" s="3" t="s">
        <v>390</v>
      </c>
      <c r="AC5" s="3" t="s">
        <v>35</v>
      </c>
      <c r="AD5" s="3" t="s">
        <v>391</v>
      </c>
      <c r="AE5">
        <v>0</v>
      </c>
    </row>
    <row r="6" spans="1:36" x14ac:dyDescent="0.25">
      <c r="A6" s="3" t="s">
        <v>392</v>
      </c>
      <c r="B6">
        <v>179.75</v>
      </c>
      <c r="C6" s="3" t="s">
        <v>360</v>
      </c>
      <c r="D6" s="3" t="s">
        <v>360</v>
      </c>
      <c r="E6">
        <v>0.35</v>
      </c>
      <c r="F6">
        <v>0.03</v>
      </c>
      <c r="G6">
        <v>4</v>
      </c>
      <c r="H6" s="3" t="s">
        <v>379</v>
      </c>
      <c r="I6">
        <v>0</v>
      </c>
      <c r="J6" s="3" t="s">
        <v>393</v>
      </c>
      <c r="K6">
        <v>220</v>
      </c>
      <c r="L6">
        <v>2.85</v>
      </c>
      <c r="M6">
        <v>5.1818000000000003E-2</v>
      </c>
      <c r="N6">
        <v>0.22392200000000001</v>
      </c>
      <c r="O6" s="3" t="s">
        <v>394</v>
      </c>
      <c r="P6" s="3" t="s">
        <v>105</v>
      </c>
      <c r="Q6">
        <v>65675700</v>
      </c>
      <c r="R6">
        <v>11805207552</v>
      </c>
      <c r="S6">
        <v>11805.207552</v>
      </c>
      <c r="T6" s="3" t="s">
        <v>382</v>
      </c>
      <c r="U6" s="3" t="s">
        <v>395</v>
      </c>
      <c r="V6" s="3" t="s">
        <v>366</v>
      </c>
      <c r="W6" s="3" t="s">
        <v>34</v>
      </c>
      <c r="X6">
        <v>0</v>
      </c>
      <c r="Y6">
        <v>1</v>
      </c>
      <c r="Z6">
        <v>0</v>
      </c>
      <c r="AA6" s="3" t="s">
        <v>34</v>
      </c>
      <c r="AB6" s="3" t="s">
        <v>115</v>
      </c>
      <c r="AC6" s="3" t="s">
        <v>35</v>
      </c>
      <c r="AD6" s="3" t="s">
        <v>391</v>
      </c>
      <c r="AE6">
        <v>0</v>
      </c>
    </row>
    <row r="7" spans="1:36" x14ac:dyDescent="0.25">
      <c r="A7" s="3" t="s">
        <v>396</v>
      </c>
      <c r="B7">
        <v>124.37</v>
      </c>
      <c r="C7" s="3" t="s">
        <v>360</v>
      </c>
      <c r="D7" s="3" t="s">
        <v>360</v>
      </c>
      <c r="E7">
        <v>0.59</v>
      </c>
      <c r="F7">
        <v>0</v>
      </c>
      <c r="G7">
        <v>4</v>
      </c>
      <c r="H7" s="3" t="s">
        <v>379</v>
      </c>
      <c r="I7">
        <v>0</v>
      </c>
      <c r="J7" s="3" t="s">
        <v>397</v>
      </c>
      <c r="K7">
        <v>135</v>
      </c>
      <c r="L7">
        <v>1.98</v>
      </c>
      <c r="M7">
        <v>4.3999999999999997E-2</v>
      </c>
      <c r="N7">
        <v>8.5471000000000005E-2</v>
      </c>
      <c r="O7" s="3" t="s">
        <v>398</v>
      </c>
      <c r="P7" s="3" t="s">
        <v>105</v>
      </c>
      <c r="Q7">
        <v>1772819968</v>
      </c>
      <c r="R7">
        <v>220485632000</v>
      </c>
      <c r="S7">
        <v>220485.63200000001</v>
      </c>
      <c r="T7" s="3" t="s">
        <v>399</v>
      </c>
      <c r="U7" s="3" t="s">
        <v>400</v>
      </c>
      <c r="V7" s="3" t="s">
        <v>366</v>
      </c>
      <c r="W7" s="3" t="s">
        <v>34</v>
      </c>
      <c r="X7">
        <v>0</v>
      </c>
      <c r="Y7">
        <v>1</v>
      </c>
      <c r="Z7">
        <v>0</v>
      </c>
      <c r="AA7" s="3" t="s">
        <v>34</v>
      </c>
      <c r="AB7" s="3" t="s">
        <v>390</v>
      </c>
      <c r="AC7" s="3" t="s">
        <v>35</v>
      </c>
      <c r="AD7" s="3" t="s">
        <v>391</v>
      </c>
      <c r="AE7">
        <v>0</v>
      </c>
      <c r="AF7">
        <v>18.960470999999998</v>
      </c>
      <c r="AG7">
        <v>33</v>
      </c>
    </row>
    <row r="8" spans="1:36" x14ac:dyDescent="0.25">
      <c r="A8" s="3" t="s">
        <v>401</v>
      </c>
      <c r="B8">
        <v>30.47</v>
      </c>
      <c r="C8" s="3" t="s">
        <v>360</v>
      </c>
      <c r="D8" s="3" t="s">
        <v>360</v>
      </c>
      <c r="E8">
        <v>1</v>
      </c>
      <c r="F8">
        <v>0.01</v>
      </c>
      <c r="G8">
        <v>1</v>
      </c>
      <c r="H8" s="3" t="s">
        <v>402</v>
      </c>
      <c r="I8">
        <v>61285</v>
      </c>
      <c r="J8" s="3" t="s">
        <v>34</v>
      </c>
      <c r="O8" s="3" t="s">
        <v>223</v>
      </c>
      <c r="P8" s="3" t="s">
        <v>403</v>
      </c>
      <c r="Q8">
        <v>261839008</v>
      </c>
      <c r="R8">
        <v>7978234368</v>
      </c>
      <c r="S8">
        <v>9348.7630279999994</v>
      </c>
      <c r="T8" s="3" t="s">
        <v>404</v>
      </c>
      <c r="U8" s="3" t="s">
        <v>405</v>
      </c>
      <c r="V8" s="3" t="s">
        <v>406</v>
      </c>
      <c r="W8" s="3" t="s">
        <v>407</v>
      </c>
      <c r="X8">
        <v>2188134.39</v>
      </c>
      <c r="Y8">
        <v>0.85340000000000005</v>
      </c>
      <c r="Z8">
        <v>0</v>
      </c>
      <c r="AA8" s="3" t="s">
        <v>34</v>
      </c>
      <c r="AB8" s="3" t="s">
        <v>34</v>
      </c>
      <c r="AC8" s="3" t="s">
        <v>408</v>
      </c>
      <c r="AD8" s="3" t="s">
        <v>409</v>
      </c>
      <c r="AE8">
        <v>0</v>
      </c>
    </row>
    <row r="9" spans="1:36" x14ac:dyDescent="0.25">
      <c r="A9" s="3" t="s">
        <v>410</v>
      </c>
      <c r="B9">
        <v>622.71</v>
      </c>
      <c r="C9" s="3" t="s">
        <v>360</v>
      </c>
      <c r="D9" s="3" t="s">
        <v>360</v>
      </c>
      <c r="E9">
        <v>0.32</v>
      </c>
      <c r="F9">
        <v>0</v>
      </c>
      <c r="G9">
        <v>4</v>
      </c>
      <c r="H9" s="3" t="s">
        <v>379</v>
      </c>
      <c r="I9">
        <v>0</v>
      </c>
      <c r="J9" s="3" t="s">
        <v>411</v>
      </c>
      <c r="K9">
        <v>700</v>
      </c>
      <c r="L9">
        <v>6.3</v>
      </c>
      <c r="M9">
        <v>3.5999999999999997E-2</v>
      </c>
      <c r="N9">
        <v>0.12411899999999999</v>
      </c>
      <c r="O9" s="3" t="s">
        <v>412</v>
      </c>
      <c r="P9" s="3" t="s">
        <v>105</v>
      </c>
      <c r="Q9">
        <v>476400000</v>
      </c>
      <c r="R9">
        <v>296659058688</v>
      </c>
      <c r="S9">
        <v>296659.05868800002</v>
      </c>
      <c r="T9" s="3" t="s">
        <v>382</v>
      </c>
      <c r="U9" s="3" t="s">
        <v>413</v>
      </c>
      <c r="V9" s="3" t="s">
        <v>366</v>
      </c>
      <c r="W9" s="3" t="s">
        <v>34</v>
      </c>
      <c r="X9">
        <v>0</v>
      </c>
      <c r="Y9">
        <v>1</v>
      </c>
      <c r="Z9">
        <v>0</v>
      </c>
      <c r="AA9" s="3" t="s">
        <v>34</v>
      </c>
      <c r="AB9" s="3" t="s">
        <v>115</v>
      </c>
      <c r="AC9" s="3" t="s">
        <v>35</v>
      </c>
      <c r="AD9" s="3" t="s">
        <v>391</v>
      </c>
      <c r="AE9">
        <v>0</v>
      </c>
      <c r="AF9">
        <v>17.918481</v>
      </c>
      <c r="AG9">
        <v>27</v>
      </c>
    </row>
    <row r="10" spans="1:36" x14ac:dyDescent="0.25">
      <c r="A10" s="3" t="s">
        <v>414</v>
      </c>
      <c r="B10">
        <v>178.53</v>
      </c>
      <c r="C10" s="3" t="s">
        <v>360</v>
      </c>
      <c r="D10" s="3" t="s">
        <v>360</v>
      </c>
      <c r="E10">
        <v>1</v>
      </c>
      <c r="F10">
        <v>0.4</v>
      </c>
      <c r="G10">
        <v>2</v>
      </c>
      <c r="H10" s="3" t="s">
        <v>415</v>
      </c>
      <c r="I10">
        <v>0</v>
      </c>
      <c r="J10" s="3" t="s">
        <v>416</v>
      </c>
      <c r="K10">
        <v>195</v>
      </c>
      <c r="L10">
        <v>2.1</v>
      </c>
      <c r="M10">
        <v>4.3076999999999997E-2</v>
      </c>
      <c r="N10">
        <v>9.2253000000000002E-2</v>
      </c>
      <c r="O10" s="3" t="s">
        <v>417</v>
      </c>
      <c r="P10" s="3" t="s">
        <v>105</v>
      </c>
      <c r="Q10">
        <v>537411008</v>
      </c>
      <c r="R10">
        <v>95943983104</v>
      </c>
      <c r="S10">
        <v>95943.983103999999</v>
      </c>
      <c r="T10" s="3" t="s">
        <v>382</v>
      </c>
      <c r="U10" s="3" t="s">
        <v>418</v>
      </c>
      <c r="V10" s="3" t="s">
        <v>366</v>
      </c>
      <c r="W10" s="3" t="s">
        <v>34</v>
      </c>
      <c r="X10">
        <v>0</v>
      </c>
      <c r="Y10">
        <v>1</v>
      </c>
      <c r="Z10">
        <v>0</v>
      </c>
      <c r="AA10" s="3" t="s">
        <v>34</v>
      </c>
      <c r="AB10" s="3" t="s">
        <v>115</v>
      </c>
      <c r="AC10" s="3" t="s">
        <v>35</v>
      </c>
      <c r="AD10" s="3" t="s">
        <v>391</v>
      </c>
      <c r="AE10">
        <v>0</v>
      </c>
      <c r="AF10">
        <v>19.217929999999999</v>
      </c>
      <c r="AG10">
        <v>24</v>
      </c>
    </row>
    <row r="11" spans="1:36" x14ac:dyDescent="0.25">
      <c r="A11" s="3" t="s">
        <v>419</v>
      </c>
      <c r="B11">
        <v>202.22</v>
      </c>
      <c r="C11" s="3" t="s">
        <v>360</v>
      </c>
      <c r="D11" s="3" t="s">
        <v>360</v>
      </c>
      <c r="E11">
        <v>0.28000000000000003</v>
      </c>
      <c r="F11">
        <v>0.42</v>
      </c>
      <c r="G11">
        <v>5</v>
      </c>
      <c r="H11" s="3" t="s">
        <v>361</v>
      </c>
      <c r="I11">
        <v>0</v>
      </c>
      <c r="J11" s="3" t="s">
        <v>420</v>
      </c>
      <c r="K11">
        <v>230</v>
      </c>
      <c r="L11">
        <v>1.1499999999999999</v>
      </c>
      <c r="M11">
        <v>1.4999999999999999E-2</v>
      </c>
      <c r="N11">
        <v>0.137375</v>
      </c>
      <c r="O11" s="3" t="s">
        <v>421</v>
      </c>
      <c r="P11" s="3" t="s">
        <v>105</v>
      </c>
      <c r="Q11">
        <v>423080992</v>
      </c>
      <c r="R11">
        <v>85555437568</v>
      </c>
      <c r="S11">
        <v>85555.437567999994</v>
      </c>
      <c r="T11" s="3" t="s">
        <v>382</v>
      </c>
      <c r="U11" s="3" t="s">
        <v>422</v>
      </c>
      <c r="V11" s="3" t="s">
        <v>366</v>
      </c>
      <c r="W11" s="3" t="s">
        <v>34</v>
      </c>
      <c r="X11">
        <v>0</v>
      </c>
      <c r="Y11">
        <v>1</v>
      </c>
      <c r="Z11">
        <v>0</v>
      </c>
      <c r="AA11" s="3" t="s">
        <v>34</v>
      </c>
      <c r="AB11" s="3" t="s">
        <v>390</v>
      </c>
      <c r="AC11" s="3" t="s">
        <v>35</v>
      </c>
      <c r="AD11" s="3" t="s">
        <v>391</v>
      </c>
      <c r="AE11">
        <v>0</v>
      </c>
      <c r="AF11">
        <v>16.665171000000001</v>
      </c>
      <c r="AG11">
        <v>26</v>
      </c>
    </row>
    <row r="12" spans="1:36" x14ac:dyDescent="0.25">
      <c r="A12" s="3" t="s">
        <v>423</v>
      </c>
      <c r="B12">
        <v>102.38</v>
      </c>
      <c r="C12" s="3" t="s">
        <v>360</v>
      </c>
      <c r="D12" s="3" t="s">
        <v>360</v>
      </c>
      <c r="E12">
        <v>1</v>
      </c>
      <c r="F12">
        <v>0.01</v>
      </c>
      <c r="G12">
        <v>1</v>
      </c>
      <c r="H12" s="3" t="s">
        <v>402</v>
      </c>
      <c r="I12">
        <v>0</v>
      </c>
      <c r="J12" s="3" t="s">
        <v>424</v>
      </c>
      <c r="K12">
        <v>130</v>
      </c>
      <c r="L12">
        <v>1.25</v>
      </c>
      <c r="M12">
        <v>3.8462000000000003E-2</v>
      </c>
      <c r="N12">
        <v>0.26977899999999999</v>
      </c>
      <c r="O12" s="3" t="s">
        <v>425</v>
      </c>
      <c r="P12" s="3" t="s">
        <v>105</v>
      </c>
      <c r="Q12">
        <v>49756000</v>
      </c>
      <c r="R12">
        <v>5094019072</v>
      </c>
      <c r="S12">
        <v>5094.0190720000001</v>
      </c>
      <c r="T12" s="3" t="s">
        <v>399</v>
      </c>
      <c r="U12" s="3" t="s">
        <v>426</v>
      </c>
      <c r="V12" s="3" t="s">
        <v>406</v>
      </c>
      <c r="W12" s="3" t="s">
        <v>34</v>
      </c>
      <c r="X12">
        <v>0</v>
      </c>
      <c r="Y12">
        <v>1</v>
      </c>
      <c r="Z12">
        <v>0</v>
      </c>
      <c r="AA12" s="3" t="s">
        <v>34</v>
      </c>
      <c r="AB12" s="3" t="s">
        <v>115</v>
      </c>
      <c r="AC12" s="3" t="s">
        <v>35</v>
      </c>
      <c r="AD12" s="3" t="s">
        <v>391</v>
      </c>
      <c r="AE12">
        <v>0</v>
      </c>
      <c r="AF12">
        <v>12.796092</v>
      </c>
      <c r="AG12">
        <v>23</v>
      </c>
    </row>
    <row r="13" spans="1:36" x14ac:dyDescent="0.25">
      <c r="A13" s="3" t="s">
        <v>427</v>
      </c>
      <c r="B13">
        <v>294.67</v>
      </c>
      <c r="C13" s="3" t="s">
        <v>360</v>
      </c>
      <c r="D13" s="3" t="s">
        <v>360</v>
      </c>
      <c r="E13">
        <v>0.24</v>
      </c>
      <c r="F13">
        <v>0.98</v>
      </c>
      <c r="G13">
        <v>9</v>
      </c>
      <c r="H13" s="3" t="s">
        <v>428</v>
      </c>
      <c r="I13">
        <v>0</v>
      </c>
      <c r="J13" s="3" t="s">
        <v>429</v>
      </c>
      <c r="K13">
        <v>340</v>
      </c>
      <c r="L13">
        <v>5.3</v>
      </c>
      <c r="M13">
        <v>4.6765000000000001E-2</v>
      </c>
      <c r="N13">
        <v>0.153833</v>
      </c>
      <c r="O13" s="3" t="s">
        <v>430</v>
      </c>
      <c r="P13" s="3" t="s">
        <v>105</v>
      </c>
      <c r="Q13">
        <v>219850000</v>
      </c>
      <c r="R13">
        <v>64783204352</v>
      </c>
      <c r="S13">
        <v>64783.204352000001</v>
      </c>
      <c r="T13" s="3" t="s">
        <v>382</v>
      </c>
      <c r="U13" s="3" t="s">
        <v>431</v>
      </c>
      <c r="V13" s="3" t="s">
        <v>366</v>
      </c>
      <c r="W13" s="3" t="s">
        <v>34</v>
      </c>
      <c r="X13">
        <v>0</v>
      </c>
      <c r="Y13">
        <v>1</v>
      </c>
      <c r="Z13">
        <v>0</v>
      </c>
      <c r="AA13" s="3" t="s">
        <v>34</v>
      </c>
      <c r="AB13" s="3" t="s">
        <v>390</v>
      </c>
      <c r="AC13" s="3" t="s">
        <v>35</v>
      </c>
      <c r="AD13" s="3" t="s">
        <v>391</v>
      </c>
      <c r="AE13">
        <v>0</v>
      </c>
      <c r="AF13">
        <v>19.946380000000001</v>
      </c>
      <c r="AG13">
        <v>20</v>
      </c>
    </row>
    <row r="14" spans="1:36" x14ac:dyDescent="0.25">
      <c r="A14" s="3" t="s">
        <v>432</v>
      </c>
      <c r="B14">
        <v>141.05000000000001</v>
      </c>
      <c r="C14" s="3" t="s">
        <v>360</v>
      </c>
      <c r="D14" s="3" t="s">
        <v>360</v>
      </c>
      <c r="E14">
        <v>1</v>
      </c>
      <c r="F14">
        <v>0.16</v>
      </c>
      <c r="G14">
        <v>1</v>
      </c>
      <c r="H14" s="3" t="s">
        <v>402</v>
      </c>
      <c r="I14">
        <v>13067</v>
      </c>
      <c r="J14" s="3" t="s">
        <v>34</v>
      </c>
      <c r="O14" s="3" t="s">
        <v>433</v>
      </c>
      <c r="P14" s="3" t="s">
        <v>403</v>
      </c>
      <c r="Q14">
        <v>150000000</v>
      </c>
      <c r="R14">
        <v>21157500928</v>
      </c>
      <c r="S14">
        <v>24792.009524000001</v>
      </c>
      <c r="T14" s="3" t="s">
        <v>434</v>
      </c>
      <c r="U14" s="3" t="s">
        <v>435</v>
      </c>
      <c r="V14" s="3" t="s">
        <v>366</v>
      </c>
      <c r="W14" s="3" t="s">
        <v>436</v>
      </c>
      <c r="X14">
        <v>2159714.54</v>
      </c>
      <c r="Y14">
        <v>0.85340000000000005</v>
      </c>
      <c r="Z14">
        <v>0</v>
      </c>
      <c r="AA14" s="3" t="s">
        <v>34</v>
      </c>
      <c r="AB14" s="3" t="s">
        <v>34</v>
      </c>
      <c r="AC14" s="3" t="s">
        <v>437</v>
      </c>
      <c r="AD14" s="3" t="s">
        <v>438</v>
      </c>
      <c r="AE14">
        <v>0</v>
      </c>
    </row>
    <row r="15" spans="1:36" x14ac:dyDescent="0.25">
      <c r="A15" s="3" t="s">
        <v>439</v>
      </c>
      <c r="B15">
        <v>6.93</v>
      </c>
      <c r="C15" s="3" t="s">
        <v>360</v>
      </c>
      <c r="D15" s="3" t="s">
        <v>360</v>
      </c>
      <c r="E15">
        <v>1</v>
      </c>
      <c r="F15">
        <v>0.21</v>
      </c>
      <c r="G15">
        <v>1</v>
      </c>
      <c r="H15" s="3" t="s">
        <v>402</v>
      </c>
      <c r="I15">
        <v>127048</v>
      </c>
      <c r="J15" s="3" t="s">
        <v>34</v>
      </c>
      <c r="O15" s="3" t="s">
        <v>440</v>
      </c>
      <c r="P15" s="3" t="s">
        <v>403</v>
      </c>
      <c r="Q15">
        <v>251218000</v>
      </c>
      <c r="R15">
        <v>1741945600</v>
      </c>
      <c r="S15">
        <v>2041.183033</v>
      </c>
      <c r="T15" s="3" t="s">
        <v>441</v>
      </c>
      <c r="U15" s="3" t="s">
        <v>442</v>
      </c>
      <c r="V15" s="3" t="s">
        <v>443</v>
      </c>
      <c r="W15" s="3" t="s">
        <v>444</v>
      </c>
      <c r="X15">
        <v>1032283.61</v>
      </c>
      <c r="Y15">
        <v>0.85340000000000005</v>
      </c>
      <c r="Z15">
        <v>0</v>
      </c>
      <c r="AA15" s="3" t="s">
        <v>34</v>
      </c>
      <c r="AB15" s="3" t="s">
        <v>34</v>
      </c>
      <c r="AC15" s="3" t="s">
        <v>35</v>
      </c>
      <c r="AD15" s="3" t="s">
        <v>391</v>
      </c>
      <c r="AE15">
        <v>0</v>
      </c>
    </row>
    <row r="16" spans="1:36" x14ac:dyDescent="0.25">
      <c r="A16" s="3" t="s">
        <v>445</v>
      </c>
      <c r="B16">
        <v>115.4</v>
      </c>
      <c r="C16" s="3" t="s">
        <v>360</v>
      </c>
      <c r="D16" s="3" t="s">
        <v>360</v>
      </c>
      <c r="E16">
        <v>0.82</v>
      </c>
      <c r="F16">
        <v>0</v>
      </c>
      <c r="G16">
        <v>1</v>
      </c>
      <c r="H16" s="3" t="s">
        <v>402</v>
      </c>
      <c r="I16">
        <v>0</v>
      </c>
      <c r="J16" s="3" t="s">
        <v>34</v>
      </c>
      <c r="O16" s="3" t="s">
        <v>446</v>
      </c>
      <c r="P16" s="3" t="s">
        <v>403</v>
      </c>
      <c r="Q16">
        <v>785782976</v>
      </c>
      <c r="R16">
        <v>90679353344</v>
      </c>
      <c r="S16">
        <v>106256.565906</v>
      </c>
      <c r="T16" s="3" t="s">
        <v>404</v>
      </c>
      <c r="U16" s="3" t="s">
        <v>447</v>
      </c>
      <c r="V16" s="3" t="s">
        <v>366</v>
      </c>
      <c r="W16" s="3" t="s">
        <v>34</v>
      </c>
      <c r="X16">
        <v>0</v>
      </c>
      <c r="Y16">
        <v>0.85340000000000005</v>
      </c>
      <c r="Z16">
        <v>0</v>
      </c>
      <c r="AA16" s="3" t="s">
        <v>34</v>
      </c>
      <c r="AB16" s="3" t="s">
        <v>34</v>
      </c>
      <c r="AC16" s="3" t="s">
        <v>35</v>
      </c>
      <c r="AD16" s="3" t="s">
        <v>391</v>
      </c>
      <c r="AE16">
        <v>0</v>
      </c>
    </row>
    <row r="17" spans="1:36" x14ac:dyDescent="0.25">
      <c r="A17" s="3" t="s">
        <v>448</v>
      </c>
      <c r="B17">
        <v>56.88</v>
      </c>
      <c r="C17" s="3" t="s">
        <v>360</v>
      </c>
      <c r="D17" s="3" t="s">
        <v>360</v>
      </c>
      <c r="E17">
        <v>0.9</v>
      </c>
      <c r="F17">
        <v>0.04</v>
      </c>
      <c r="G17">
        <v>1</v>
      </c>
      <c r="H17" s="3" t="s">
        <v>402</v>
      </c>
      <c r="I17">
        <v>48095</v>
      </c>
      <c r="J17" s="3" t="s">
        <v>34</v>
      </c>
      <c r="O17" s="3" t="s">
        <v>449</v>
      </c>
      <c r="P17" s="3" t="s">
        <v>403</v>
      </c>
      <c r="Q17">
        <v>449630016</v>
      </c>
      <c r="R17">
        <v>25574955008</v>
      </c>
      <c r="S17">
        <v>29968.309126</v>
      </c>
      <c r="T17" s="3" t="s">
        <v>434</v>
      </c>
      <c r="U17" s="3" t="s">
        <v>450</v>
      </c>
      <c r="V17" s="3" t="s">
        <v>366</v>
      </c>
      <c r="W17" s="3" t="s">
        <v>451</v>
      </c>
      <c r="X17">
        <v>3205581.96</v>
      </c>
      <c r="Y17">
        <v>0.85340000000000005</v>
      </c>
      <c r="Z17">
        <v>0</v>
      </c>
      <c r="AA17" s="3" t="s">
        <v>34</v>
      </c>
      <c r="AB17" s="3" t="s">
        <v>34</v>
      </c>
      <c r="AC17" s="3" t="s">
        <v>452</v>
      </c>
      <c r="AD17" s="3" t="s">
        <v>453</v>
      </c>
      <c r="AE17">
        <v>0</v>
      </c>
    </row>
    <row r="18" spans="1:36" x14ac:dyDescent="0.25">
      <c r="A18" s="3" t="s">
        <v>52</v>
      </c>
      <c r="B18">
        <v>282.18</v>
      </c>
      <c r="C18" s="3" t="s">
        <v>360</v>
      </c>
      <c r="D18" s="3" t="s">
        <v>360</v>
      </c>
      <c r="E18">
        <v>0.24</v>
      </c>
      <c r="F18">
        <v>0.03</v>
      </c>
      <c r="G18">
        <v>7</v>
      </c>
      <c r="H18" s="3" t="s">
        <v>454</v>
      </c>
      <c r="I18">
        <v>2708</v>
      </c>
      <c r="J18" s="3" t="s">
        <v>455</v>
      </c>
      <c r="K18">
        <v>310</v>
      </c>
      <c r="L18">
        <v>3.7</v>
      </c>
      <c r="M18">
        <v>3.5805999999999998E-2</v>
      </c>
      <c r="N18">
        <v>9.8589999999999997E-2</v>
      </c>
      <c r="O18" s="3" t="s">
        <v>456</v>
      </c>
      <c r="P18" s="3" t="s">
        <v>105</v>
      </c>
      <c r="Q18">
        <v>455140992</v>
      </c>
      <c r="R18">
        <v>128431685632</v>
      </c>
      <c r="S18">
        <v>128431.68563199999</v>
      </c>
      <c r="T18" s="3" t="s">
        <v>399</v>
      </c>
      <c r="U18" s="3" t="s">
        <v>457</v>
      </c>
      <c r="V18" s="3" t="s">
        <v>366</v>
      </c>
      <c r="W18" s="3" t="s">
        <v>458</v>
      </c>
      <c r="X18">
        <v>764143.42</v>
      </c>
      <c r="Y18">
        <v>1</v>
      </c>
      <c r="Z18">
        <v>-2700</v>
      </c>
      <c r="AA18" s="3" t="s">
        <v>459</v>
      </c>
      <c r="AB18" s="3" t="s">
        <v>390</v>
      </c>
      <c r="AC18" s="3" t="s">
        <v>460</v>
      </c>
      <c r="AD18" s="3" t="s">
        <v>461</v>
      </c>
      <c r="AE18">
        <v>-1100</v>
      </c>
      <c r="AF18">
        <v>19.961615999999999</v>
      </c>
      <c r="AG18">
        <v>24</v>
      </c>
    </row>
    <row r="19" spans="1:36" x14ac:dyDescent="0.25">
      <c r="A19" s="3" t="s">
        <v>36</v>
      </c>
      <c r="B19">
        <v>3425.52</v>
      </c>
      <c r="C19" s="3" t="s">
        <v>360</v>
      </c>
      <c r="D19" s="3" t="s">
        <v>360</v>
      </c>
      <c r="E19">
        <v>0.46</v>
      </c>
      <c r="F19">
        <v>0</v>
      </c>
      <c r="G19">
        <v>4</v>
      </c>
      <c r="H19" s="3" t="s">
        <v>379</v>
      </c>
      <c r="I19">
        <v>467</v>
      </c>
      <c r="J19" s="3" t="s">
        <v>462</v>
      </c>
      <c r="K19">
        <v>3800</v>
      </c>
      <c r="L19">
        <v>37</v>
      </c>
      <c r="M19">
        <v>3.8947000000000002E-2</v>
      </c>
      <c r="N19">
        <v>0.109321</v>
      </c>
      <c r="O19" s="3" t="s">
        <v>463</v>
      </c>
      <c r="P19" s="3" t="s">
        <v>105</v>
      </c>
      <c r="Q19">
        <v>506440992</v>
      </c>
      <c r="R19">
        <v>1734823772160</v>
      </c>
      <c r="S19">
        <v>1734823.7721599999</v>
      </c>
      <c r="T19" s="3" t="s">
        <v>382</v>
      </c>
      <c r="U19" s="3" t="s">
        <v>464</v>
      </c>
      <c r="V19" s="3" t="s">
        <v>366</v>
      </c>
      <c r="W19" s="3" t="s">
        <v>465</v>
      </c>
      <c r="X19">
        <v>1599717.85</v>
      </c>
      <c r="Y19">
        <v>1</v>
      </c>
      <c r="Z19">
        <v>0</v>
      </c>
      <c r="AA19" s="3" t="s">
        <v>34</v>
      </c>
      <c r="AB19" s="3" t="s">
        <v>115</v>
      </c>
      <c r="AC19" s="3" t="s">
        <v>466</v>
      </c>
      <c r="AD19" s="3" t="s">
        <v>467</v>
      </c>
      <c r="AE19">
        <v>0</v>
      </c>
      <c r="AF19">
        <v>19.721378000000001</v>
      </c>
      <c r="AG19">
        <v>45</v>
      </c>
    </row>
    <row r="20" spans="1:36" x14ac:dyDescent="0.25">
      <c r="A20" s="3" t="s">
        <v>468</v>
      </c>
      <c r="B20">
        <v>360.15</v>
      </c>
      <c r="C20" s="3" t="s">
        <v>360</v>
      </c>
      <c r="D20" s="3" t="s">
        <v>360</v>
      </c>
      <c r="E20">
        <v>0.31</v>
      </c>
      <c r="F20">
        <v>0.21</v>
      </c>
      <c r="G20">
        <v>4</v>
      </c>
      <c r="H20" s="3" t="s">
        <v>379</v>
      </c>
      <c r="I20">
        <v>0</v>
      </c>
      <c r="J20" s="3" t="s">
        <v>469</v>
      </c>
      <c r="K20">
        <v>430</v>
      </c>
      <c r="L20">
        <v>3</v>
      </c>
      <c r="M20">
        <v>2.7907000000000001E-2</v>
      </c>
      <c r="N20">
        <v>0.19394700000000001</v>
      </c>
      <c r="O20" s="3" t="s">
        <v>470</v>
      </c>
      <c r="P20" s="3" t="s">
        <v>105</v>
      </c>
      <c r="Q20">
        <v>76716600</v>
      </c>
      <c r="R20">
        <v>27629484032</v>
      </c>
      <c r="S20">
        <v>27629.484032</v>
      </c>
      <c r="T20" s="3" t="s">
        <v>399</v>
      </c>
      <c r="U20" s="3" t="s">
        <v>471</v>
      </c>
      <c r="V20" s="3" t="s">
        <v>366</v>
      </c>
      <c r="W20" s="3" t="s">
        <v>34</v>
      </c>
      <c r="X20">
        <v>0</v>
      </c>
      <c r="Y20">
        <v>1</v>
      </c>
      <c r="Z20">
        <v>0</v>
      </c>
      <c r="AA20" s="3" t="s">
        <v>34</v>
      </c>
      <c r="AB20" s="3" t="s">
        <v>115</v>
      </c>
      <c r="AC20" s="3" t="s">
        <v>35</v>
      </c>
      <c r="AD20" s="3" t="s">
        <v>391</v>
      </c>
      <c r="AE20">
        <v>0</v>
      </c>
      <c r="AF20">
        <v>19.924620999999998</v>
      </c>
      <c r="AG20">
        <v>20</v>
      </c>
    </row>
    <row r="21" spans="1:36" x14ac:dyDescent="0.25">
      <c r="A21" s="3" t="s">
        <v>43</v>
      </c>
      <c r="B21">
        <v>14.4</v>
      </c>
      <c r="C21" s="3" t="s">
        <v>360</v>
      </c>
      <c r="D21" s="3" t="s">
        <v>360</v>
      </c>
      <c r="E21">
        <v>1</v>
      </c>
      <c r="F21">
        <v>0.36</v>
      </c>
      <c r="G21">
        <v>2</v>
      </c>
      <c r="H21" s="3" t="s">
        <v>415</v>
      </c>
      <c r="I21">
        <v>217201</v>
      </c>
      <c r="J21" s="3" t="s">
        <v>472</v>
      </c>
      <c r="K21">
        <v>20</v>
      </c>
      <c r="L21">
        <v>0.45</v>
      </c>
      <c r="M21">
        <v>6.7500000000000004E-2</v>
      </c>
      <c r="N21">
        <v>0.38888899999999998</v>
      </c>
      <c r="O21" s="3" t="s">
        <v>473</v>
      </c>
      <c r="P21" s="3" t="s">
        <v>105</v>
      </c>
      <c r="Q21">
        <v>82218000</v>
      </c>
      <c r="R21">
        <v>7260407808</v>
      </c>
      <c r="S21">
        <v>7260.4078079999999</v>
      </c>
      <c r="T21" s="3" t="s">
        <v>382</v>
      </c>
      <c r="U21" s="3" t="s">
        <v>474</v>
      </c>
      <c r="V21" s="3" t="s">
        <v>406</v>
      </c>
      <c r="W21" s="3" t="s">
        <v>475</v>
      </c>
      <c r="X21">
        <v>3127694.4</v>
      </c>
      <c r="Y21">
        <v>1</v>
      </c>
      <c r="Z21">
        <v>0</v>
      </c>
      <c r="AA21" s="3" t="s">
        <v>34</v>
      </c>
      <c r="AB21" s="3" t="s">
        <v>390</v>
      </c>
      <c r="AC21" s="3" t="s">
        <v>476</v>
      </c>
      <c r="AD21" s="3" t="s">
        <v>477</v>
      </c>
      <c r="AE21">
        <v>0</v>
      </c>
      <c r="AF21">
        <v>19.047619000000001</v>
      </c>
      <c r="AG21">
        <v>10</v>
      </c>
    </row>
    <row r="22" spans="1:36" x14ac:dyDescent="0.25">
      <c r="A22" s="3" t="s">
        <v>478</v>
      </c>
      <c r="B22">
        <v>361.55</v>
      </c>
      <c r="C22" s="3" t="s">
        <v>360</v>
      </c>
      <c r="D22" s="3" t="s">
        <v>360</v>
      </c>
      <c r="E22">
        <v>0.57999999999999996</v>
      </c>
      <c r="F22">
        <v>0</v>
      </c>
      <c r="G22">
        <v>4</v>
      </c>
      <c r="H22" s="3" t="s">
        <v>379</v>
      </c>
      <c r="I22">
        <v>0</v>
      </c>
      <c r="J22" s="3" t="s">
        <v>479</v>
      </c>
      <c r="K22">
        <v>400</v>
      </c>
      <c r="L22">
        <v>7.4</v>
      </c>
      <c r="M22">
        <v>5.5500000000000001E-2</v>
      </c>
      <c r="N22">
        <v>0.106348</v>
      </c>
      <c r="O22" s="3" t="s">
        <v>480</v>
      </c>
      <c r="P22" s="3" t="s">
        <v>105</v>
      </c>
      <c r="Q22">
        <v>87252496</v>
      </c>
      <c r="R22">
        <v>31546138624</v>
      </c>
      <c r="S22">
        <v>31546.138623999999</v>
      </c>
      <c r="T22" s="3" t="s">
        <v>382</v>
      </c>
      <c r="U22" s="3" t="s">
        <v>481</v>
      </c>
      <c r="V22" s="3" t="s">
        <v>366</v>
      </c>
      <c r="W22" s="3" t="s">
        <v>34</v>
      </c>
      <c r="X22">
        <v>0</v>
      </c>
      <c r="Y22">
        <v>1</v>
      </c>
      <c r="Z22">
        <v>0</v>
      </c>
      <c r="AA22" s="3" t="s">
        <v>34</v>
      </c>
      <c r="AB22" s="3" t="s">
        <v>390</v>
      </c>
      <c r="AC22" s="3" t="s">
        <v>35</v>
      </c>
      <c r="AD22" s="3" t="s">
        <v>391</v>
      </c>
      <c r="AE22">
        <v>0</v>
      </c>
      <c r="AF22">
        <v>17.899246000000002</v>
      </c>
      <c r="AG22">
        <v>21</v>
      </c>
    </row>
    <row r="23" spans="1:36" x14ac:dyDescent="0.25">
      <c r="A23" s="3" t="s">
        <v>53</v>
      </c>
      <c r="B23">
        <v>299.17</v>
      </c>
      <c r="C23" s="3" t="s">
        <v>360</v>
      </c>
      <c r="D23" s="3" t="s">
        <v>360</v>
      </c>
      <c r="E23">
        <v>1</v>
      </c>
      <c r="F23">
        <v>0.84</v>
      </c>
      <c r="G23">
        <v>3</v>
      </c>
      <c r="H23" s="3" t="s">
        <v>371</v>
      </c>
      <c r="I23">
        <v>2772</v>
      </c>
      <c r="J23" s="3" t="s">
        <v>482</v>
      </c>
      <c r="K23">
        <v>330</v>
      </c>
      <c r="L23">
        <v>2.8</v>
      </c>
      <c r="M23">
        <v>3.3938999999999997E-2</v>
      </c>
      <c r="N23">
        <v>0.103052</v>
      </c>
      <c r="O23" s="3" t="s">
        <v>483</v>
      </c>
      <c r="P23" s="3" t="s">
        <v>105</v>
      </c>
      <c r="Q23">
        <v>225747008</v>
      </c>
      <c r="R23">
        <v>67536736256</v>
      </c>
      <c r="S23">
        <v>67536.736256000004</v>
      </c>
      <c r="T23" s="3" t="s">
        <v>399</v>
      </c>
      <c r="U23" s="3" t="s">
        <v>484</v>
      </c>
      <c r="V23" s="3" t="s">
        <v>366</v>
      </c>
      <c r="W23" s="3" t="s">
        <v>485</v>
      </c>
      <c r="X23">
        <v>829299.28</v>
      </c>
      <c r="Y23">
        <v>1</v>
      </c>
      <c r="Z23">
        <v>0</v>
      </c>
      <c r="AA23" s="3" t="s">
        <v>34</v>
      </c>
      <c r="AB23" s="3" t="s">
        <v>115</v>
      </c>
      <c r="AC23" s="3" t="s">
        <v>486</v>
      </c>
      <c r="AD23" s="3" t="s">
        <v>487</v>
      </c>
      <c r="AE23">
        <v>0</v>
      </c>
      <c r="AF23">
        <v>18.213291000000002</v>
      </c>
      <c r="AG23">
        <v>22</v>
      </c>
    </row>
    <row r="24" spans="1:36" x14ac:dyDescent="0.25">
      <c r="A24" s="3" t="s">
        <v>488</v>
      </c>
      <c r="B24">
        <v>77.489999999999995</v>
      </c>
      <c r="C24" s="3" t="s">
        <v>360</v>
      </c>
      <c r="D24" s="3" t="s">
        <v>360</v>
      </c>
      <c r="E24">
        <v>1</v>
      </c>
      <c r="F24">
        <v>0.74</v>
      </c>
      <c r="G24">
        <v>2</v>
      </c>
      <c r="H24" s="3" t="s">
        <v>415</v>
      </c>
      <c r="I24">
        <v>0</v>
      </c>
      <c r="J24" s="3" t="s">
        <v>489</v>
      </c>
      <c r="K24">
        <v>85</v>
      </c>
      <c r="L24">
        <v>0.6</v>
      </c>
      <c r="M24">
        <v>2.8235E-2</v>
      </c>
      <c r="N24">
        <v>9.6916000000000002E-2</v>
      </c>
      <c r="O24" s="3" t="s">
        <v>490</v>
      </c>
      <c r="P24" s="3" t="s">
        <v>105</v>
      </c>
      <c r="Q24">
        <v>598185024</v>
      </c>
      <c r="R24">
        <v>46353354752</v>
      </c>
      <c r="S24">
        <v>46353.354751999999</v>
      </c>
      <c r="T24" s="3" t="s">
        <v>399</v>
      </c>
      <c r="U24" s="3" t="s">
        <v>491</v>
      </c>
      <c r="V24" s="3" t="s">
        <v>366</v>
      </c>
      <c r="W24" s="3" t="s">
        <v>34</v>
      </c>
      <c r="X24">
        <v>0</v>
      </c>
      <c r="Y24">
        <v>1</v>
      </c>
      <c r="Z24">
        <v>0</v>
      </c>
      <c r="AA24" s="3" t="s">
        <v>34</v>
      </c>
      <c r="AB24" s="3" t="s">
        <v>115</v>
      </c>
      <c r="AC24" s="3" t="s">
        <v>35</v>
      </c>
      <c r="AD24" s="3" t="s">
        <v>391</v>
      </c>
      <c r="AE24">
        <v>0</v>
      </c>
      <c r="AF24">
        <v>19.094878999999999</v>
      </c>
      <c r="AG24">
        <v>21</v>
      </c>
    </row>
    <row r="25" spans="1:36" x14ac:dyDescent="0.25">
      <c r="A25" s="3" t="s">
        <v>492</v>
      </c>
      <c r="B25">
        <v>189.84</v>
      </c>
      <c r="C25" s="3" t="s">
        <v>360</v>
      </c>
      <c r="D25" s="3" t="s">
        <v>360</v>
      </c>
      <c r="E25">
        <v>1</v>
      </c>
      <c r="F25">
        <v>0.26</v>
      </c>
      <c r="G25">
        <v>2</v>
      </c>
      <c r="H25" s="3" t="s">
        <v>415</v>
      </c>
      <c r="I25">
        <v>0</v>
      </c>
      <c r="J25" s="3" t="s">
        <v>493</v>
      </c>
      <c r="K25">
        <v>190</v>
      </c>
      <c r="L25">
        <v>5</v>
      </c>
      <c r="M25">
        <v>7.8947000000000003E-2</v>
      </c>
      <c r="N25">
        <v>8.43E-4</v>
      </c>
      <c r="O25" s="3" t="s">
        <v>494</v>
      </c>
      <c r="P25" s="3" t="s">
        <v>105</v>
      </c>
      <c r="Q25">
        <v>30000000</v>
      </c>
      <c r="R25">
        <v>5705774080</v>
      </c>
      <c r="S25">
        <v>5705.7740800000001</v>
      </c>
      <c r="T25" s="3" t="s">
        <v>399</v>
      </c>
      <c r="U25" s="3" t="s">
        <v>495</v>
      </c>
      <c r="V25" s="3" t="s">
        <v>406</v>
      </c>
      <c r="W25" s="3" t="s">
        <v>34</v>
      </c>
      <c r="X25">
        <v>0</v>
      </c>
      <c r="Y25">
        <v>1</v>
      </c>
      <c r="Z25">
        <v>0</v>
      </c>
      <c r="AA25" s="3" t="s">
        <v>34</v>
      </c>
      <c r="AB25" s="3" t="s">
        <v>115</v>
      </c>
      <c r="AC25" s="3" t="s">
        <v>35</v>
      </c>
      <c r="AD25" s="3" t="s">
        <v>391</v>
      </c>
      <c r="AE25">
        <v>0</v>
      </c>
      <c r="AF25">
        <v>23.374770999999999</v>
      </c>
      <c r="AG25">
        <v>15</v>
      </c>
    </row>
    <row r="26" spans="1:36" x14ac:dyDescent="0.25">
      <c r="A26" s="3" t="s">
        <v>496</v>
      </c>
      <c r="B26">
        <v>16.399999999999999</v>
      </c>
      <c r="C26" s="3" t="s">
        <v>360</v>
      </c>
      <c r="D26" s="3" t="s">
        <v>360</v>
      </c>
      <c r="E26">
        <v>0.97</v>
      </c>
      <c r="F26">
        <v>1</v>
      </c>
      <c r="G26">
        <v>3</v>
      </c>
      <c r="H26" s="3" t="s">
        <v>371</v>
      </c>
      <c r="I26">
        <v>94968</v>
      </c>
      <c r="J26" s="3" t="s">
        <v>34</v>
      </c>
      <c r="O26" s="3" t="s">
        <v>270</v>
      </c>
      <c r="P26" s="3" t="s">
        <v>403</v>
      </c>
      <c r="Q26">
        <v>818824000</v>
      </c>
      <c r="R26">
        <v>13428713472</v>
      </c>
      <c r="S26">
        <v>15735.544260999999</v>
      </c>
      <c r="T26" s="3" t="s">
        <v>441</v>
      </c>
      <c r="U26" s="3" t="s">
        <v>497</v>
      </c>
      <c r="V26" s="3" t="s">
        <v>366</v>
      </c>
      <c r="W26" s="3" t="s">
        <v>498</v>
      </c>
      <c r="X26">
        <v>1825023.67</v>
      </c>
      <c r="Y26">
        <v>0.85340000000000005</v>
      </c>
      <c r="Z26">
        <v>0</v>
      </c>
      <c r="AA26" s="3" t="s">
        <v>34</v>
      </c>
      <c r="AB26" s="3" t="s">
        <v>34</v>
      </c>
      <c r="AC26" s="3" t="s">
        <v>35</v>
      </c>
      <c r="AD26" s="3" t="s">
        <v>391</v>
      </c>
      <c r="AE26">
        <v>0</v>
      </c>
    </row>
    <row r="27" spans="1:36" x14ac:dyDescent="0.25">
      <c r="A27" s="3" t="s">
        <v>110</v>
      </c>
      <c r="B27">
        <v>41.1</v>
      </c>
      <c r="C27" s="3" t="s">
        <v>360</v>
      </c>
      <c r="D27" s="3" t="s">
        <v>360</v>
      </c>
      <c r="E27">
        <v>0.16</v>
      </c>
      <c r="F27">
        <v>0</v>
      </c>
      <c r="G27">
        <v>7</v>
      </c>
      <c r="H27" s="3" t="s">
        <v>454</v>
      </c>
      <c r="I27">
        <v>38396</v>
      </c>
      <c r="J27" s="3" t="s">
        <v>499</v>
      </c>
      <c r="K27">
        <v>55</v>
      </c>
      <c r="L27">
        <v>0.65</v>
      </c>
      <c r="M27">
        <v>4.7273000000000003E-2</v>
      </c>
      <c r="N27">
        <v>0.3382</v>
      </c>
      <c r="O27" s="3" t="s">
        <v>500</v>
      </c>
      <c r="P27" s="3" t="s">
        <v>105</v>
      </c>
      <c r="Q27">
        <v>124980000</v>
      </c>
      <c r="R27">
        <v>5136677888</v>
      </c>
      <c r="S27">
        <v>5136.6778880000002</v>
      </c>
      <c r="T27" s="3" t="s">
        <v>399</v>
      </c>
      <c r="U27" s="3" t="s">
        <v>501</v>
      </c>
      <c r="V27" s="3" t="s">
        <v>406</v>
      </c>
      <c r="W27" s="3" t="s">
        <v>502</v>
      </c>
      <c r="X27">
        <v>1578075.52</v>
      </c>
      <c r="Y27">
        <v>1</v>
      </c>
      <c r="Z27">
        <v>0</v>
      </c>
      <c r="AA27" s="3" t="s">
        <v>34</v>
      </c>
      <c r="AB27" s="3" t="s">
        <v>115</v>
      </c>
      <c r="AC27" s="3" t="s">
        <v>35</v>
      </c>
      <c r="AD27" s="3" t="s">
        <v>391</v>
      </c>
      <c r="AE27">
        <v>0</v>
      </c>
    </row>
    <row r="28" spans="1:36" x14ac:dyDescent="0.25">
      <c r="A28" s="3" t="s">
        <v>57</v>
      </c>
      <c r="B28">
        <v>504.92</v>
      </c>
      <c r="C28" s="3" t="s">
        <v>360</v>
      </c>
      <c r="D28" s="3" t="s">
        <v>360</v>
      </c>
      <c r="E28">
        <v>0.97</v>
      </c>
      <c r="F28">
        <v>0.44</v>
      </c>
      <c r="G28">
        <v>2</v>
      </c>
      <c r="H28" s="3" t="s">
        <v>415</v>
      </c>
      <c r="I28">
        <v>1458</v>
      </c>
      <c r="J28" s="3" t="s">
        <v>503</v>
      </c>
      <c r="K28">
        <v>550</v>
      </c>
      <c r="L28">
        <v>5.0999999999999996</v>
      </c>
      <c r="M28">
        <v>3.7090999999999999E-2</v>
      </c>
      <c r="N28">
        <v>8.9280999999999999E-2</v>
      </c>
      <c r="O28" s="3" t="s">
        <v>504</v>
      </c>
      <c r="P28" s="3" t="s">
        <v>105</v>
      </c>
      <c r="Q28">
        <v>411616000</v>
      </c>
      <c r="R28">
        <v>207833153536</v>
      </c>
      <c r="S28">
        <v>207833.153536</v>
      </c>
      <c r="T28" s="3" t="s">
        <v>382</v>
      </c>
      <c r="U28" s="3" t="s">
        <v>505</v>
      </c>
      <c r="V28" s="3" t="s">
        <v>366</v>
      </c>
      <c r="W28" s="3" t="s">
        <v>506</v>
      </c>
      <c r="X28">
        <v>736173.38</v>
      </c>
      <c r="Y28">
        <v>1</v>
      </c>
      <c r="Z28">
        <v>-1400</v>
      </c>
      <c r="AA28" s="3" t="s">
        <v>507</v>
      </c>
      <c r="AB28" s="3" t="s">
        <v>115</v>
      </c>
      <c r="AC28" s="3" t="s">
        <v>508</v>
      </c>
      <c r="AD28" s="3" t="s">
        <v>509</v>
      </c>
      <c r="AE28">
        <v>-600</v>
      </c>
      <c r="AF28">
        <v>19.544060999999999</v>
      </c>
      <c r="AG28">
        <v>34</v>
      </c>
    </row>
    <row r="29" spans="1:36" x14ac:dyDescent="0.25">
      <c r="A29" s="3" t="s">
        <v>510</v>
      </c>
      <c r="B29">
        <v>13.88</v>
      </c>
      <c r="C29" s="3" t="s">
        <v>360</v>
      </c>
      <c r="D29" s="3" t="s">
        <v>360</v>
      </c>
      <c r="E29">
        <v>0.22</v>
      </c>
      <c r="F29">
        <v>0.82</v>
      </c>
      <c r="G29">
        <v>9</v>
      </c>
      <c r="H29" s="3" t="s">
        <v>428</v>
      </c>
      <c r="I29">
        <v>0</v>
      </c>
      <c r="J29" s="3" t="s">
        <v>34</v>
      </c>
      <c r="O29" s="3" t="s">
        <v>511</v>
      </c>
      <c r="P29" s="3" t="s">
        <v>512</v>
      </c>
      <c r="Q29">
        <v>2147483647</v>
      </c>
      <c r="R29">
        <v>84291018752</v>
      </c>
      <c r="S29">
        <v>15791.636613999999</v>
      </c>
      <c r="T29" s="3" t="s">
        <v>513</v>
      </c>
      <c r="U29" s="3" t="s">
        <v>514</v>
      </c>
      <c r="V29" s="3" t="s">
        <v>366</v>
      </c>
      <c r="W29" s="3" t="s">
        <v>34</v>
      </c>
      <c r="X29">
        <v>0</v>
      </c>
      <c r="Y29">
        <v>5.3376999999999999</v>
      </c>
      <c r="Z29">
        <v>0</v>
      </c>
      <c r="AA29" s="3" t="s">
        <v>34</v>
      </c>
      <c r="AB29" s="3" t="s">
        <v>34</v>
      </c>
      <c r="AC29" s="3" t="s">
        <v>35</v>
      </c>
      <c r="AD29" s="3" t="s">
        <v>391</v>
      </c>
      <c r="AE29">
        <v>0</v>
      </c>
    </row>
    <row r="30" spans="1:36" x14ac:dyDescent="0.25">
      <c r="A30" s="3" t="s">
        <v>56</v>
      </c>
      <c r="B30">
        <v>145.08000000000001</v>
      </c>
      <c r="C30" s="3" t="s">
        <v>360</v>
      </c>
      <c r="D30" s="3" t="s">
        <v>360</v>
      </c>
      <c r="E30">
        <v>0</v>
      </c>
      <c r="F30">
        <v>0.95</v>
      </c>
      <c r="G30">
        <v>9</v>
      </c>
      <c r="H30" s="3" t="s">
        <v>428</v>
      </c>
      <c r="I30">
        <v>14997</v>
      </c>
      <c r="J30" s="3" t="s">
        <v>515</v>
      </c>
      <c r="K30">
        <v>190</v>
      </c>
      <c r="L30">
        <v>2.0099999999999998</v>
      </c>
      <c r="M30">
        <v>4.2315999999999999E-2</v>
      </c>
      <c r="N30">
        <v>0.30962200000000001</v>
      </c>
      <c r="O30" s="3" t="s">
        <v>516</v>
      </c>
      <c r="P30" s="3" t="s">
        <v>105</v>
      </c>
      <c r="Q30">
        <v>2147483647</v>
      </c>
      <c r="R30">
        <v>396647268352</v>
      </c>
      <c r="S30">
        <v>396647.26835199998</v>
      </c>
      <c r="T30" s="3" t="s">
        <v>399</v>
      </c>
      <c r="U30" s="3" t="s">
        <v>517</v>
      </c>
      <c r="V30" s="3" t="s">
        <v>366</v>
      </c>
      <c r="W30" s="3" t="s">
        <v>518</v>
      </c>
      <c r="X30">
        <v>2175764.79</v>
      </c>
      <c r="Y30">
        <v>1</v>
      </c>
      <c r="Z30">
        <v>91000</v>
      </c>
      <c r="AA30" s="3" t="s">
        <v>519</v>
      </c>
      <c r="AB30" s="3" t="s">
        <v>520</v>
      </c>
      <c r="AC30" s="3" t="s">
        <v>521</v>
      </c>
      <c r="AD30" s="3" t="s">
        <v>522</v>
      </c>
      <c r="AE30">
        <v>20211217</v>
      </c>
      <c r="AF30">
        <v>2858</v>
      </c>
      <c r="AG30">
        <v>414638.65</v>
      </c>
      <c r="AH30">
        <v>27000</v>
      </c>
      <c r="AI30">
        <v>19.997769000000002</v>
      </c>
      <c r="AJ30">
        <v>42</v>
      </c>
    </row>
    <row r="31" spans="1:36" x14ac:dyDescent="0.25">
      <c r="A31" s="3" t="s">
        <v>523</v>
      </c>
      <c r="B31">
        <v>80.849999999999994</v>
      </c>
      <c r="C31" s="3" t="s">
        <v>360</v>
      </c>
      <c r="D31" s="3" t="s">
        <v>360</v>
      </c>
      <c r="E31">
        <v>0.73</v>
      </c>
      <c r="F31">
        <v>1</v>
      </c>
      <c r="G31">
        <v>6</v>
      </c>
      <c r="H31" s="3" t="s">
        <v>524</v>
      </c>
      <c r="I31">
        <v>0</v>
      </c>
      <c r="J31" s="3" t="s">
        <v>525</v>
      </c>
      <c r="K31">
        <v>87.5</v>
      </c>
      <c r="L31">
        <v>1.55</v>
      </c>
      <c r="M31">
        <v>5.3143000000000003E-2</v>
      </c>
      <c r="N31">
        <v>8.2251000000000005E-2</v>
      </c>
      <c r="O31" s="3" t="s">
        <v>526</v>
      </c>
      <c r="P31" s="3" t="s">
        <v>105</v>
      </c>
      <c r="Q31">
        <v>499910016</v>
      </c>
      <c r="R31">
        <v>40417722368</v>
      </c>
      <c r="S31">
        <v>40417.722368000002</v>
      </c>
      <c r="T31" s="3" t="s">
        <v>399</v>
      </c>
      <c r="U31" s="3" t="s">
        <v>527</v>
      </c>
      <c r="V31" s="3" t="s">
        <v>366</v>
      </c>
      <c r="W31" s="3" t="s">
        <v>34</v>
      </c>
      <c r="X31">
        <v>0</v>
      </c>
      <c r="Y31">
        <v>1</v>
      </c>
      <c r="Z31">
        <v>0</v>
      </c>
      <c r="AA31" s="3" t="s">
        <v>34</v>
      </c>
      <c r="AB31" s="3" t="s">
        <v>390</v>
      </c>
      <c r="AC31" s="3" t="s">
        <v>35</v>
      </c>
      <c r="AD31" s="3" t="s">
        <v>391</v>
      </c>
      <c r="AE31">
        <v>0</v>
      </c>
      <c r="AF31">
        <v>19.521906000000001</v>
      </c>
      <c r="AG31">
        <v>27</v>
      </c>
    </row>
    <row r="32" spans="1:36" x14ac:dyDescent="0.25">
      <c r="A32" s="3" t="s">
        <v>528</v>
      </c>
      <c r="B32">
        <v>46.49</v>
      </c>
      <c r="C32" s="3" t="s">
        <v>360</v>
      </c>
      <c r="D32" s="3" t="s">
        <v>360</v>
      </c>
      <c r="E32">
        <v>0.21</v>
      </c>
      <c r="F32">
        <v>0.74</v>
      </c>
      <c r="G32">
        <v>8</v>
      </c>
      <c r="H32" s="3" t="s">
        <v>529</v>
      </c>
      <c r="I32">
        <v>0</v>
      </c>
      <c r="J32" s="3" t="s">
        <v>34</v>
      </c>
      <c r="O32" s="3" t="s">
        <v>530</v>
      </c>
      <c r="P32" s="3" t="s">
        <v>403</v>
      </c>
      <c r="Q32">
        <v>982424000</v>
      </c>
      <c r="R32">
        <v>45677801472</v>
      </c>
      <c r="S32">
        <v>53524.491998999998</v>
      </c>
      <c r="T32" s="3" t="s">
        <v>531</v>
      </c>
      <c r="U32" s="3" t="s">
        <v>532</v>
      </c>
      <c r="V32" s="3" t="s">
        <v>366</v>
      </c>
      <c r="W32" s="3" t="s">
        <v>34</v>
      </c>
      <c r="X32">
        <v>0</v>
      </c>
      <c r="Y32">
        <v>0.85340000000000005</v>
      </c>
      <c r="Z32">
        <v>0</v>
      </c>
      <c r="AA32" s="3" t="s">
        <v>34</v>
      </c>
      <c r="AB32" s="3" t="s">
        <v>34</v>
      </c>
      <c r="AC32" s="3" t="s">
        <v>35</v>
      </c>
      <c r="AD32" s="3" t="s">
        <v>391</v>
      </c>
      <c r="AE32">
        <v>0</v>
      </c>
    </row>
    <row r="33" spans="1:33" x14ac:dyDescent="0.25">
      <c r="A33" s="3" t="s">
        <v>533</v>
      </c>
      <c r="B33">
        <v>253.18</v>
      </c>
      <c r="C33" s="3" t="s">
        <v>360</v>
      </c>
      <c r="D33" s="3" t="s">
        <v>360</v>
      </c>
      <c r="E33">
        <v>0.61</v>
      </c>
      <c r="F33">
        <v>0.97</v>
      </c>
      <c r="G33">
        <v>6</v>
      </c>
      <c r="H33" s="3" t="s">
        <v>524</v>
      </c>
      <c r="I33">
        <v>0</v>
      </c>
      <c r="J33" s="3" t="s">
        <v>534</v>
      </c>
      <c r="K33">
        <v>270</v>
      </c>
      <c r="L33">
        <v>3.7</v>
      </c>
      <c r="M33">
        <v>5.4815000000000003E-2</v>
      </c>
      <c r="N33">
        <v>6.6434999999999994E-2</v>
      </c>
      <c r="O33" s="3" t="s">
        <v>535</v>
      </c>
      <c r="P33" s="3" t="s">
        <v>105</v>
      </c>
      <c r="Q33">
        <v>287190016</v>
      </c>
      <c r="R33">
        <v>72710766592</v>
      </c>
      <c r="S33">
        <v>72710.766592</v>
      </c>
      <c r="T33" s="3" t="s">
        <v>399</v>
      </c>
      <c r="U33" s="3" t="s">
        <v>536</v>
      </c>
      <c r="V33" s="3" t="s">
        <v>366</v>
      </c>
      <c r="W33" s="3" t="s">
        <v>34</v>
      </c>
      <c r="X33">
        <v>0</v>
      </c>
      <c r="Y33">
        <v>1</v>
      </c>
      <c r="Z33">
        <v>0</v>
      </c>
      <c r="AA33" s="3" t="s">
        <v>34</v>
      </c>
      <c r="AB33" s="3" t="s">
        <v>115</v>
      </c>
      <c r="AC33" s="3" t="s">
        <v>35</v>
      </c>
      <c r="AD33" s="3" t="s">
        <v>391</v>
      </c>
      <c r="AE33">
        <v>0</v>
      </c>
      <c r="AF33">
        <v>17.743424000000001</v>
      </c>
      <c r="AG33">
        <v>24</v>
      </c>
    </row>
    <row r="34" spans="1:33" x14ac:dyDescent="0.25">
      <c r="A34" s="3" t="s">
        <v>109</v>
      </c>
      <c r="B34">
        <v>16.53</v>
      </c>
      <c r="C34" s="3" t="s">
        <v>360</v>
      </c>
      <c r="D34" s="3" t="s">
        <v>360</v>
      </c>
      <c r="E34">
        <v>0.04</v>
      </c>
      <c r="F34">
        <v>0.25</v>
      </c>
      <c r="G34">
        <v>7</v>
      </c>
      <c r="H34" s="3" t="s">
        <v>454</v>
      </c>
      <c r="I34">
        <v>100570</v>
      </c>
      <c r="J34" s="3" t="s">
        <v>537</v>
      </c>
      <c r="K34">
        <v>30</v>
      </c>
      <c r="L34">
        <v>0.6</v>
      </c>
      <c r="M34">
        <v>0.06</v>
      </c>
      <c r="N34">
        <v>0.814882</v>
      </c>
      <c r="O34" s="3" t="s">
        <v>538</v>
      </c>
      <c r="P34" s="3" t="s">
        <v>105</v>
      </c>
      <c r="Q34">
        <v>1190899968</v>
      </c>
      <c r="R34">
        <v>19685576704</v>
      </c>
      <c r="S34">
        <v>19685.576703999999</v>
      </c>
      <c r="T34" s="3" t="s">
        <v>399</v>
      </c>
      <c r="U34" s="3" t="s">
        <v>539</v>
      </c>
      <c r="V34" s="3" t="s">
        <v>366</v>
      </c>
      <c r="W34" s="3" t="s">
        <v>540</v>
      </c>
      <c r="X34">
        <v>1662422.2</v>
      </c>
      <c r="Y34">
        <v>1</v>
      </c>
      <c r="Z34">
        <v>0</v>
      </c>
      <c r="AA34" s="3" t="s">
        <v>34</v>
      </c>
      <c r="AB34" s="3" t="s">
        <v>390</v>
      </c>
      <c r="AC34" s="3" t="s">
        <v>35</v>
      </c>
      <c r="AD34" s="3" t="s">
        <v>391</v>
      </c>
      <c r="AE34">
        <v>0</v>
      </c>
    </row>
    <row r="35" spans="1:33" x14ac:dyDescent="0.25">
      <c r="A35" s="3" t="s">
        <v>66</v>
      </c>
      <c r="B35">
        <v>291.70999999999998</v>
      </c>
      <c r="C35" s="3" t="s">
        <v>360</v>
      </c>
      <c r="D35" s="3" t="s">
        <v>360</v>
      </c>
      <c r="E35">
        <v>0.04</v>
      </c>
      <c r="F35">
        <v>0.21</v>
      </c>
      <c r="G35">
        <v>7</v>
      </c>
      <c r="H35" s="3" t="s">
        <v>454</v>
      </c>
      <c r="I35">
        <v>1976</v>
      </c>
      <c r="J35" s="3" t="s">
        <v>541</v>
      </c>
      <c r="K35">
        <v>370</v>
      </c>
      <c r="L35">
        <v>5.4</v>
      </c>
      <c r="M35">
        <v>4.3784000000000003E-2</v>
      </c>
      <c r="N35">
        <v>0.26838299999999998</v>
      </c>
      <c r="O35" s="3" t="s">
        <v>542</v>
      </c>
      <c r="P35" s="3" t="s">
        <v>105</v>
      </c>
      <c r="Q35">
        <v>149032992</v>
      </c>
      <c r="R35">
        <v>43474411520</v>
      </c>
      <c r="S35">
        <v>43474.411520000001</v>
      </c>
      <c r="T35" s="3" t="s">
        <v>382</v>
      </c>
      <c r="U35" s="3" t="s">
        <v>543</v>
      </c>
      <c r="V35" s="3" t="s">
        <v>366</v>
      </c>
      <c r="W35" s="3" t="s">
        <v>544</v>
      </c>
      <c r="X35">
        <v>576418.93999999994</v>
      </c>
      <c r="Y35">
        <v>1</v>
      </c>
      <c r="Z35">
        <v>0</v>
      </c>
      <c r="AA35" s="3" t="s">
        <v>34</v>
      </c>
      <c r="AB35" s="3" t="s">
        <v>390</v>
      </c>
      <c r="AC35" s="3" t="s">
        <v>545</v>
      </c>
      <c r="AD35" s="3" t="s">
        <v>546</v>
      </c>
      <c r="AE35">
        <v>0</v>
      </c>
      <c r="AF35">
        <v>19.855359</v>
      </c>
      <c r="AG35">
        <v>32</v>
      </c>
    </row>
    <row r="36" spans="1:33" x14ac:dyDescent="0.25">
      <c r="A36" s="3" t="s">
        <v>113</v>
      </c>
      <c r="B36">
        <v>156.57</v>
      </c>
      <c r="C36" s="3" t="s">
        <v>360</v>
      </c>
      <c r="D36" s="3" t="s">
        <v>360</v>
      </c>
      <c r="E36">
        <v>0.45</v>
      </c>
      <c r="F36">
        <v>0.25</v>
      </c>
      <c r="G36">
        <v>4</v>
      </c>
      <c r="H36" s="3" t="s">
        <v>379</v>
      </c>
      <c r="I36">
        <v>0</v>
      </c>
      <c r="J36" s="3" t="s">
        <v>547</v>
      </c>
      <c r="K36">
        <v>195</v>
      </c>
      <c r="L36">
        <v>2.06</v>
      </c>
      <c r="M36">
        <v>4.2256000000000002E-2</v>
      </c>
      <c r="N36">
        <v>0.245449</v>
      </c>
      <c r="O36" s="3" t="s">
        <v>548</v>
      </c>
      <c r="P36" s="3" t="s">
        <v>105</v>
      </c>
      <c r="Q36">
        <v>348059008</v>
      </c>
      <c r="R36">
        <v>54597214208</v>
      </c>
      <c r="S36">
        <v>54597.214207999998</v>
      </c>
      <c r="T36" s="3" t="s">
        <v>382</v>
      </c>
      <c r="U36" s="3" t="s">
        <v>549</v>
      </c>
      <c r="V36" s="3" t="s">
        <v>366</v>
      </c>
      <c r="W36" s="3" t="s">
        <v>34</v>
      </c>
      <c r="X36">
        <v>0</v>
      </c>
      <c r="Y36">
        <v>1</v>
      </c>
      <c r="Z36">
        <v>40000</v>
      </c>
      <c r="AA36" s="3" t="s">
        <v>519</v>
      </c>
      <c r="AB36" s="3" t="s">
        <v>550</v>
      </c>
      <c r="AC36" s="3" t="s">
        <v>115</v>
      </c>
      <c r="AD36" s="3" t="s">
        <v>35</v>
      </c>
      <c r="AE36">
        <v>0</v>
      </c>
      <c r="AF36">
        <v>0</v>
      </c>
    </row>
    <row r="37" spans="1:33" x14ac:dyDescent="0.25">
      <c r="A37" s="3" t="s">
        <v>551</v>
      </c>
      <c r="B37">
        <v>2491.35</v>
      </c>
      <c r="C37" s="3" t="s">
        <v>360</v>
      </c>
      <c r="D37" s="3" t="s">
        <v>360</v>
      </c>
      <c r="E37">
        <v>1</v>
      </c>
      <c r="F37">
        <v>1</v>
      </c>
      <c r="G37">
        <v>3</v>
      </c>
      <c r="H37" s="3" t="s">
        <v>371</v>
      </c>
      <c r="I37">
        <v>0</v>
      </c>
      <c r="J37" s="3" t="s">
        <v>552</v>
      </c>
      <c r="K37">
        <v>2900</v>
      </c>
      <c r="L37">
        <v>23</v>
      </c>
      <c r="M37">
        <v>3.1724000000000002E-2</v>
      </c>
      <c r="N37">
        <v>0.16402800000000001</v>
      </c>
      <c r="O37" s="3" t="s">
        <v>553</v>
      </c>
      <c r="P37" s="3" t="s">
        <v>105</v>
      </c>
      <c r="Q37">
        <v>41059800</v>
      </c>
      <c r="R37">
        <v>102294339584</v>
      </c>
      <c r="S37">
        <v>102294.339584</v>
      </c>
      <c r="T37" s="3" t="s">
        <v>382</v>
      </c>
      <c r="U37" s="3" t="s">
        <v>554</v>
      </c>
      <c r="V37" s="3" t="s">
        <v>366</v>
      </c>
      <c r="W37" s="3" t="s">
        <v>34</v>
      </c>
      <c r="X37">
        <v>0</v>
      </c>
      <c r="Y37">
        <v>1</v>
      </c>
      <c r="Z37">
        <v>0</v>
      </c>
      <c r="AA37" s="3" t="s">
        <v>34</v>
      </c>
      <c r="AB37" s="3" t="s">
        <v>115</v>
      </c>
      <c r="AC37" s="3" t="s">
        <v>35</v>
      </c>
      <c r="AD37" s="3" t="s">
        <v>391</v>
      </c>
      <c r="AE37">
        <v>0</v>
      </c>
      <c r="AF37">
        <v>19.664375</v>
      </c>
      <c r="AG37">
        <v>20</v>
      </c>
    </row>
    <row r="38" spans="1:33" x14ac:dyDescent="0.25">
      <c r="A38" s="3" t="s">
        <v>555</v>
      </c>
      <c r="B38">
        <v>874.62</v>
      </c>
      <c r="C38" s="3" t="s">
        <v>360</v>
      </c>
      <c r="D38" s="3" t="s">
        <v>360</v>
      </c>
      <c r="E38">
        <v>0.3</v>
      </c>
      <c r="F38">
        <v>1</v>
      </c>
      <c r="G38">
        <v>6</v>
      </c>
      <c r="H38" s="3" t="s">
        <v>524</v>
      </c>
      <c r="I38">
        <v>0</v>
      </c>
      <c r="J38" s="3" t="s">
        <v>556</v>
      </c>
      <c r="K38">
        <v>960</v>
      </c>
      <c r="L38">
        <v>14.2</v>
      </c>
      <c r="M38">
        <v>4.4374999999999998E-2</v>
      </c>
      <c r="N38">
        <v>9.7619999999999998E-2</v>
      </c>
      <c r="O38" s="3" t="s">
        <v>557</v>
      </c>
      <c r="P38" s="3" t="s">
        <v>105</v>
      </c>
      <c r="Q38">
        <v>152196000</v>
      </c>
      <c r="R38">
        <v>133113667584</v>
      </c>
      <c r="S38">
        <v>133113.66758400001</v>
      </c>
      <c r="T38" s="3" t="s">
        <v>399</v>
      </c>
      <c r="U38" s="3" t="s">
        <v>558</v>
      </c>
      <c r="V38" s="3" t="s">
        <v>366</v>
      </c>
      <c r="W38" s="3" t="s">
        <v>34</v>
      </c>
      <c r="X38">
        <v>0</v>
      </c>
      <c r="Y38">
        <v>1</v>
      </c>
      <c r="Z38">
        <v>0</v>
      </c>
      <c r="AA38" s="3" t="s">
        <v>34</v>
      </c>
      <c r="AB38" s="3" t="s">
        <v>390</v>
      </c>
      <c r="AC38" s="3" t="s">
        <v>35</v>
      </c>
      <c r="AD38" s="3" t="s">
        <v>391</v>
      </c>
      <c r="AE38">
        <v>0</v>
      </c>
      <c r="AF38">
        <v>19.116368999999999</v>
      </c>
      <c r="AG38">
        <v>23</v>
      </c>
    </row>
    <row r="39" spans="1:33" x14ac:dyDescent="0.25">
      <c r="A39" s="3" t="s">
        <v>559</v>
      </c>
      <c r="B39">
        <v>169.01</v>
      </c>
      <c r="C39" s="3" t="s">
        <v>360</v>
      </c>
      <c r="D39" s="3" t="s">
        <v>360</v>
      </c>
      <c r="E39">
        <v>0.47</v>
      </c>
      <c r="F39">
        <v>0.16</v>
      </c>
      <c r="G39">
        <v>4</v>
      </c>
      <c r="H39" s="3" t="s">
        <v>379</v>
      </c>
      <c r="I39">
        <v>0</v>
      </c>
      <c r="J39" s="3" t="s">
        <v>560</v>
      </c>
      <c r="K39">
        <v>190</v>
      </c>
      <c r="L39">
        <v>0.65</v>
      </c>
      <c r="M39">
        <v>1.3684E-2</v>
      </c>
      <c r="N39">
        <v>0.124194</v>
      </c>
      <c r="O39" s="3" t="s">
        <v>561</v>
      </c>
      <c r="P39" s="3" t="s">
        <v>105</v>
      </c>
      <c r="Q39">
        <v>116168000</v>
      </c>
      <c r="R39">
        <v>19633553408</v>
      </c>
      <c r="S39">
        <v>19633.553408</v>
      </c>
      <c r="T39" s="3" t="s">
        <v>399</v>
      </c>
      <c r="U39" s="3" t="s">
        <v>562</v>
      </c>
      <c r="V39" s="3" t="s">
        <v>366</v>
      </c>
      <c r="W39" s="3" t="s">
        <v>34</v>
      </c>
      <c r="X39">
        <v>0</v>
      </c>
      <c r="Y39">
        <v>1</v>
      </c>
      <c r="Z39">
        <v>0</v>
      </c>
      <c r="AA39" s="3" t="s">
        <v>34</v>
      </c>
      <c r="AB39" s="3" t="s">
        <v>115</v>
      </c>
      <c r="AC39" s="3" t="s">
        <v>35</v>
      </c>
      <c r="AD39" s="3" t="s">
        <v>391</v>
      </c>
      <c r="AE39">
        <v>0</v>
      </c>
      <c r="AF39">
        <v>17.861764000000001</v>
      </c>
      <c r="AG39">
        <v>18</v>
      </c>
    </row>
    <row r="40" spans="1:33" x14ac:dyDescent="0.25">
      <c r="A40" s="3" t="s">
        <v>563</v>
      </c>
      <c r="B40">
        <v>125.1</v>
      </c>
      <c r="C40" s="3" t="s">
        <v>360</v>
      </c>
      <c r="D40" s="3" t="s">
        <v>360</v>
      </c>
      <c r="E40">
        <v>0.72</v>
      </c>
      <c r="F40">
        <v>0.75</v>
      </c>
      <c r="G40">
        <v>5</v>
      </c>
      <c r="H40" s="3" t="s">
        <v>361</v>
      </c>
      <c r="I40">
        <v>0</v>
      </c>
      <c r="J40" s="3" t="s">
        <v>564</v>
      </c>
      <c r="K40">
        <v>140</v>
      </c>
      <c r="L40">
        <v>1.75</v>
      </c>
      <c r="M40">
        <v>0.05</v>
      </c>
      <c r="N40">
        <v>0.119105</v>
      </c>
      <c r="O40" s="3" t="s">
        <v>565</v>
      </c>
      <c r="P40" s="3" t="s">
        <v>105</v>
      </c>
      <c r="Q40">
        <v>685948992</v>
      </c>
      <c r="R40">
        <v>89487777792</v>
      </c>
      <c r="S40">
        <v>89487.777791999993</v>
      </c>
      <c r="T40" s="3" t="s">
        <v>399</v>
      </c>
      <c r="U40" s="3" t="s">
        <v>566</v>
      </c>
      <c r="V40" s="3" t="s">
        <v>366</v>
      </c>
      <c r="W40" s="3" t="s">
        <v>34</v>
      </c>
      <c r="X40">
        <v>0</v>
      </c>
      <c r="Y40">
        <v>1</v>
      </c>
      <c r="Z40">
        <v>0</v>
      </c>
      <c r="AA40" s="3" t="s">
        <v>34</v>
      </c>
      <c r="AB40" s="3" t="s">
        <v>115</v>
      </c>
      <c r="AC40" s="3" t="s">
        <v>35</v>
      </c>
      <c r="AD40" s="3" t="s">
        <v>391</v>
      </c>
      <c r="AE40">
        <v>0</v>
      </c>
      <c r="AF40">
        <v>14.029021999999999</v>
      </c>
      <c r="AG40">
        <v>21</v>
      </c>
    </row>
    <row r="41" spans="1:33" x14ac:dyDescent="0.25">
      <c r="A41" s="3" t="s">
        <v>42</v>
      </c>
      <c r="B41">
        <v>125.84</v>
      </c>
      <c r="C41" s="3" t="s">
        <v>360</v>
      </c>
      <c r="D41" s="3" t="s">
        <v>360</v>
      </c>
      <c r="E41">
        <v>0.72</v>
      </c>
      <c r="F41">
        <v>0.49</v>
      </c>
      <c r="G41">
        <v>5</v>
      </c>
      <c r="H41" s="3" t="s">
        <v>361</v>
      </c>
      <c r="I41">
        <v>8402</v>
      </c>
      <c r="J41" s="3" t="s">
        <v>567</v>
      </c>
      <c r="K41">
        <v>140</v>
      </c>
      <c r="L41">
        <v>1.4</v>
      </c>
      <c r="M41">
        <v>0.04</v>
      </c>
      <c r="N41">
        <v>0.112524</v>
      </c>
      <c r="O41" s="3" t="s">
        <v>568</v>
      </c>
      <c r="P41" s="3" t="s">
        <v>105</v>
      </c>
      <c r="Q41">
        <v>106623000</v>
      </c>
      <c r="R41">
        <v>13417438208</v>
      </c>
      <c r="S41">
        <v>13417.438208</v>
      </c>
      <c r="T41" s="3" t="s">
        <v>569</v>
      </c>
      <c r="U41" s="3" t="s">
        <v>570</v>
      </c>
      <c r="V41" s="3" t="s">
        <v>366</v>
      </c>
      <c r="W41" s="3" t="s">
        <v>571</v>
      </c>
      <c r="X41">
        <v>1057307.6499999999</v>
      </c>
      <c r="Y41">
        <v>1</v>
      </c>
      <c r="Z41">
        <v>0</v>
      </c>
      <c r="AA41" s="3" t="s">
        <v>34</v>
      </c>
      <c r="AB41" s="3" t="s">
        <v>115</v>
      </c>
      <c r="AC41" s="3" t="s">
        <v>572</v>
      </c>
      <c r="AD41" s="3" t="s">
        <v>573</v>
      </c>
      <c r="AE41">
        <v>0</v>
      </c>
      <c r="AF41">
        <v>18.550298999999999</v>
      </c>
      <c r="AG41">
        <v>24</v>
      </c>
    </row>
    <row r="42" spans="1:33" x14ac:dyDescent="0.25">
      <c r="A42" s="3" t="s">
        <v>574</v>
      </c>
      <c r="B42">
        <v>96.45</v>
      </c>
      <c r="C42" s="3" t="s">
        <v>360</v>
      </c>
      <c r="D42" s="3" t="s">
        <v>360</v>
      </c>
      <c r="E42">
        <v>0.34</v>
      </c>
      <c r="F42">
        <v>0.72</v>
      </c>
      <c r="G42">
        <v>5</v>
      </c>
      <c r="H42" s="3" t="s">
        <v>361</v>
      </c>
      <c r="I42">
        <v>0</v>
      </c>
      <c r="J42" s="3" t="s">
        <v>575</v>
      </c>
      <c r="K42">
        <v>140</v>
      </c>
      <c r="L42">
        <v>1.8</v>
      </c>
      <c r="M42">
        <v>3.8571000000000001E-2</v>
      </c>
      <c r="N42">
        <v>0.45152900000000001</v>
      </c>
      <c r="O42" s="3" t="s">
        <v>576</v>
      </c>
      <c r="P42" s="3" t="s">
        <v>105</v>
      </c>
      <c r="Q42">
        <v>33040100</v>
      </c>
      <c r="R42">
        <v>3186717440</v>
      </c>
      <c r="S42">
        <v>3186.7174399999999</v>
      </c>
      <c r="T42" s="3" t="s">
        <v>577</v>
      </c>
      <c r="U42" s="3" t="s">
        <v>578</v>
      </c>
      <c r="V42" s="3" t="s">
        <v>406</v>
      </c>
      <c r="W42" s="3" t="s">
        <v>34</v>
      </c>
      <c r="X42">
        <v>0</v>
      </c>
      <c r="Y42">
        <v>1</v>
      </c>
      <c r="Z42">
        <v>0</v>
      </c>
      <c r="AA42" s="3" t="s">
        <v>34</v>
      </c>
      <c r="AB42" s="3" t="s">
        <v>115</v>
      </c>
      <c r="AC42" s="3" t="s">
        <v>35</v>
      </c>
      <c r="AD42" s="3" t="s">
        <v>391</v>
      </c>
      <c r="AE42">
        <v>0</v>
      </c>
      <c r="AF42">
        <v>13.772455000000001</v>
      </c>
      <c r="AG42">
        <v>2</v>
      </c>
    </row>
    <row r="43" spans="1:33" x14ac:dyDescent="0.25">
      <c r="A43" s="3" t="s">
        <v>579</v>
      </c>
      <c r="B43">
        <v>72.98</v>
      </c>
      <c r="C43" s="3" t="s">
        <v>360</v>
      </c>
      <c r="D43" s="3" t="s">
        <v>360</v>
      </c>
      <c r="E43">
        <v>0</v>
      </c>
      <c r="F43">
        <v>1</v>
      </c>
      <c r="G43">
        <v>9</v>
      </c>
      <c r="H43" s="3" t="s">
        <v>428</v>
      </c>
      <c r="I43">
        <v>0</v>
      </c>
      <c r="J43" s="3" t="s">
        <v>580</v>
      </c>
      <c r="K43">
        <v>75</v>
      </c>
      <c r="L43">
        <v>2</v>
      </c>
      <c r="M43">
        <v>0.106667</v>
      </c>
      <c r="N43">
        <v>2.7678999999999999E-2</v>
      </c>
      <c r="O43" s="3" t="s">
        <v>581</v>
      </c>
      <c r="P43" s="3" t="s">
        <v>105</v>
      </c>
      <c r="Q43">
        <v>295585984</v>
      </c>
      <c r="R43">
        <v>21571866624</v>
      </c>
      <c r="S43">
        <v>21571.866623999998</v>
      </c>
      <c r="T43" s="3" t="s">
        <v>382</v>
      </c>
      <c r="U43" s="3" t="s">
        <v>582</v>
      </c>
      <c r="V43" s="3" t="s">
        <v>366</v>
      </c>
      <c r="W43" s="3" t="s">
        <v>34</v>
      </c>
      <c r="X43">
        <v>0</v>
      </c>
      <c r="Y43">
        <v>1</v>
      </c>
      <c r="Z43">
        <v>0</v>
      </c>
      <c r="AA43" s="3" t="s">
        <v>34</v>
      </c>
      <c r="AB43" s="3" t="s">
        <v>115</v>
      </c>
      <c r="AC43" s="3" t="s">
        <v>35</v>
      </c>
      <c r="AD43" s="3" t="s">
        <v>391</v>
      </c>
      <c r="AE43">
        <v>0</v>
      </c>
      <c r="AF43">
        <v>19.363396999999999</v>
      </c>
      <c r="AG43">
        <v>26</v>
      </c>
    </row>
    <row r="44" spans="1:33" x14ac:dyDescent="0.25">
      <c r="A44" s="3" t="s">
        <v>583</v>
      </c>
      <c r="B44">
        <v>76.63</v>
      </c>
      <c r="C44" s="3" t="s">
        <v>360</v>
      </c>
      <c r="D44" s="3" t="s">
        <v>360</v>
      </c>
      <c r="E44">
        <v>0.06</v>
      </c>
      <c r="F44">
        <v>0.95</v>
      </c>
      <c r="G44">
        <v>9</v>
      </c>
      <c r="H44" s="3" t="s">
        <v>428</v>
      </c>
      <c r="I44">
        <v>0</v>
      </c>
      <c r="J44" s="3" t="s">
        <v>584</v>
      </c>
      <c r="K44">
        <v>82.5</v>
      </c>
      <c r="L44">
        <v>0.8</v>
      </c>
      <c r="M44">
        <v>2.9090999999999999E-2</v>
      </c>
      <c r="N44">
        <v>7.6602000000000003E-2</v>
      </c>
      <c r="O44" s="3" t="s">
        <v>585</v>
      </c>
      <c r="P44" s="3" t="s">
        <v>105</v>
      </c>
      <c r="Q44">
        <v>843513024</v>
      </c>
      <c r="R44">
        <v>64984768512</v>
      </c>
      <c r="S44">
        <v>64984.768512000002</v>
      </c>
      <c r="T44" s="3" t="s">
        <v>399</v>
      </c>
      <c r="U44" s="3" t="s">
        <v>586</v>
      </c>
      <c r="V44" s="3" t="s">
        <v>366</v>
      </c>
      <c r="W44" s="3" t="s">
        <v>34</v>
      </c>
      <c r="X44">
        <v>0</v>
      </c>
      <c r="Y44">
        <v>1</v>
      </c>
      <c r="Z44">
        <v>0</v>
      </c>
      <c r="AA44" s="3" t="s">
        <v>34</v>
      </c>
      <c r="AB44" s="3" t="s">
        <v>390</v>
      </c>
      <c r="AC44" s="3" t="s">
        <v>35</v>
      </c>
      <c r="AD44" s="3" t="s">
        <v>391</v>
      </c>
      <c r="AE44">
        <v>0</v>
      </c>
      <c r="AF44">
        <v>16.76962</v>
      </c>
      <c r="AG44">
        <v>32</v>
      </c>
    </row>
    <row r="45" spans="1:33" x14ac:dyDescent="0.25">
      <c r="A45" s="3" t="s">
        <v>129</v>
      </c>
      <c r="B45">
        <v>198.01</v>
      </c>
      <c r="C45" s="3" t="s">
        <v>360</v>
      </c>
      <c r="D45" s="3" t="s">
        <v>360</v>
      </c>
      <c r="E45">
        <v>0.44</v>
      </c>
      <c r="F45">
        <v>0.98</v>
      </c>
      <c r="G45">
        <v>6</v>
      </c>
      <c r="H45" s="3" t="s">
        <v>524</v>
      </c>
      <c r="I45">
        <v>798</v>
      </c>
      <c r="J45" s="3" t="s">
        <v>587</v>
      </c>
      <c r="K45">
        <v>220</v>
      </c>
      <c r="L45">
        <v>1.3</v>
      </c>
      <c r="M45">
        <v>2.3636000000000001E-2</v>
      </c>
      <c r="N45">
        <v>0.111055</v>
      </c>
      <c r="O45" s="3" t="s">
        <v>588</v>
      </c>
      <c r="P45" s="3" t="s">
        <v>105</v>
      </c>
      <c r="Q45">
        <v>359135008</v>
      </c>
      <c r="R45">
        <v>71112908800</v>
      </c>
      <c r="S45">
        <v>71112.908800000005</v>
      </c>
      <c r="T45" s="3" t="s">
        <v>382</v>
      </c>
      <c r="U45" s="3" t="s">
        <v>589</v>
      </c>
      <c r="V45" s="3" t="s">
        <v>366</v>
      </c>
      <c r="W45" s="3" t="s">
        <v>590</v>
      </c>
      <c r="X45">
        <v>158011.98000000001</v>
      </c>
      <c r="Y45">
        <v>1</v>
      </c>
      <c r="Z45">
        <v>0</v>
      </c>
      <c r="AA45" s="3" t="s">
        <v>34</v>
      </c>
      <c r="AB45" s="3" t="s">
        <v>115</v>
      </c>
      <c r="AC45" s="3" t="s">
        <v>591</v>
      </c>
      <c r="AD45" s="3" t="s">
        <v>592</v>
      </c>
      <c r="AE45">
        <v>0</v>
      </c>
      <c r="AF45">
        <v>18.059263999999999</v>
      </c>
      <c r="AG45">
        <v>27</v>
      </c>
    </row>
    <row r="46" spans="1:33" x14ac:dyDescent="0.25">
      <c r="A46" s="3" t="s">
        <v>593</v>
      </c>
      <c r="B46">
        <v>1937.22</v>
      </c>
      <c r="C46" s="3" t="s">
        <v>360</v>
      </c>
      <c r="D46" s="3" t="s">
        <v>360</v>
      </c>
      <c r="E46">
        <v>0.98</v>
      </c>
      <c r="F46">
        <v>0</v>
      </c>
      <c r="G46">
        <v>1</v>
      </c>
      <c r="H46" s="3" t="s">
        <v>402</v>
      </c>
      <c r="I46">
        <v>0</v>
      </c>
      <c r="J46" s="3" t="s">
        <v>594</v>
      </c>
      <c r="K46">
        <v>2300</v>
      </c>
      <c r="L46">
        <v>8.5</v>
      </c>
      <c r="M46">
        <v>1.4782999999999999E-2</v>
      </c>
      <c r="N46">
        <v>0.18726799999999999</v>
      </c>
      <c r="O46" s="3" t="s">
        <v>595</v>
      </c>
      <c r="P46" s="3" t="s">
        <v>105</v>
      </c>
      <c r="Q46">
        <v>28094900</v>
      </c>
      <c r="R46">
        <v>54426001408</v>
      </c>
      <c r="S46">
        <v>54426.001407999996</v>
      </c>
      <c r="T46" s="3" t="s">
        <v>399</v>
      </c>
      <c r="U46" s="3" t="s">
        <v>596</v>
      </c>
      <c r="V46" s="3" t="s">
        <v>366</v>
      </c>
      <c r="W46" s="3" t="s">
        <v>34</v>
      </c>
      <c r="X46">
        <v>0</v>
      </c>
      <c r="Y46">
        <v>1</v>
      </c>
      <c r="Z46">
        <v>0</v>
      </c>
      <c r="AA46" s="3" t="s">
        <v>34</v>
      </c>
      <c r="AB46" s="3" t="s">
        <v>115</v>
      </c>
      <c r="AC46" s="3" t="s">
        <v>35</v>
      </c>
      <c r="AD46" s="3" t="s">
        <v>391</v>
      </c>
      <c r="AE46">
        <v>0</v>
      </c>
      <c r="AF46">
        <v>19.719232000000002</v>
      </c>
      <c r="AG46">
        <v>29</v>
      </c>
    </row>
    <row r="47" spans="1:33" x14ac:dyDescent="0.25">
      <c r="A47" s="3" t="s">
        <v>58</v>
      </c>
      <c r="B47">
        <v>231.82</v>
      </c>
      <c r="C47" s="3" t="s">
        <v>360</v>
      </c>
      <c r="D47" s="3" t="s">
        <v>360</v>
      </c>
      <c r="E47">
        <v>0.19</v>
      </c>
      <c r="F47">
        <v>0.62</v>
      </c>
      <c r="G47">
        <v>8</v>
      </c>
      <c r="H47" s="3" t="s">
        <v>529</v>
      </c>
      <c r="I47">
        <v>4596</v>
      </c>
      <c r="J47" s="3" t="s">
        <v>597</v>
      </c>
      <c r="K47">
        <v>320</v>
      </c>
      <c r="L47">
        <v>3.1</v>
      </c>
      <c r="M47">
        <v>3.875E-2</v>
      </c>
      <c r="N47">
        <v>0.38038100000000002</v>
      </c>
      <c r="O47" s="3" t="s">
        <v>598</v>
      </c>
      <c r="P47" s="3" t="s">
        <v>105</v>
      </c>
      <c r="Q47">
        <v>141790000</v>
      </c>
      <c r="R47">
        <v>60713660416</v>
      </c>
      <c r="S47">
        <v>60713.660415999999</v>
      </c>
      <c r="T47" s="3" t="s">
        <v>382</v>
      </c>
      <c r="U47" s="3" t="s">
        <v>599</v>
      </c>
      <c r="V47" s="3" t="s">
        <v>366</v>
      </c>
      <c r="W47" s="3" t="s">
        <v>600</v>
      </c>
      <c r="X47">
        <v>1065444.75</v>
      </c>
      <c r="Y47">
        <v>1</v>
      </c>
      <c r="Z47">
        <v>5000</v>
      </c>
      <c r="AA47" s="3" t="s">
        <v>601</v>
      </c>
      <c r="AB47" s="3" t="s">
        <v>115</v>
      </c>
      <c r="AC47" s="3" t="s">
        <v>602</v>
      </c>
      <c r="AD47" s="3" t="s">
        <v>603</v>
      </c>
      <c r="AE47">
        <v>5000</v>
      </c>
    </row>
    <row r="48" spans="1:33" x14ac:dyDescent="0.25">
      <c r="A48" s="3" t="s">
        <v>111</v>
      </c>
      <c r="B48">
        <v>8.01</v>
      </c>
      <c r="C48" s="3" t="s">
        <v>360</v>
      </c>
      <c r="D48" s="3" t="s">
        <v>360</v>
      </c>
      <c r="E48">
        <v>0.12</v>
      </c>
      <c r="F48">
        <v>1</v>
      </c>
      <c r="G48">
        <v>9</v>
      </c>
      <c r="H48" s="3" t="s">
        <v>428</v>
      </c>
      <c r="I48">
        <v>191603</v>
      </c>
      <c r="J48" s="3" t="s">
        <v>604</v>
      </c>
      <c r="K48">
        <v>11</v>
      </c>
      <c r="L48">
        <v>0.2</v>
      </c>
      <c r="M48">
        <v>5.4545000000000003E-2</v>
      </c>
      <c r="N48">
        <v>0.37328299999999998</v>
      </c>
      <c r="O48" s="3" t="s">
        <v>605</v>
      </c>
      <c r="P48" s="3" t="s">
        <v>105</v>
      </c>
      <c r="Q48">
        <v>816065984</v>
      </c>
      <c r="R48">
        <v>6536688640</v>
      </c>
      <c r="S48">
        <v>6536.6886400000003</v>
      </c>
      <c r="T48" s="3" t="s">
        <v>399</v>
      </c>
      <c r="U48" s="3" t="s">
        <v>606</v>
      </c>
      <c r="V48" s="3" t="s">
        <v>406</v>
      </c>
      <c r="W48" s="3" t="s">
        <v>607</v>
      </c>
      <c r="X48">
        <v>1534740.03</v>
      </c>
      <c r="Y48">
        <v>1</v>
      </c>
      <c r="Z48">
        <v>0</v>
      </c>
      <c r="AA48" s="3" t="s">
        <v>34</v>
      </c>
      <c r="AB48" s="3" t="s">
        <v>390</v>
      </c>
      <c r="AC48" s="3" t="s">
        <v>35</v>
      </c>
      <c r="AD48" s="3" t="s">
        <v>391</v>
      </c>
      <c r="AE48">
        <v>0</v>
      </c>
      <c r="AF48">
        <v>19.375574</v>
      </c>
      <c r="AG48">
        <v>25</v>
      </c>
    </row>
    <row r="49" spans="1:33" x14ac:dyDescent="0.25">
      <c r="A49" s="3" t="s">
        <v>32</v>
      </c>
      <c r="B49">
        <v>285.63</v>
      </c>
      <c r="C49" s="3" t="s">
        <v>360</v>
      </c>
      <c r="D49" s="3" t="s">
        <v>360</v>
      </c>
      <c r="E49">
        <v>1</v>
      </c>
      <c r="F49">
        <v>0.86</v>
      </c>
      <c r="G49">
        <v>3</v>
      </c>
      <c r="H49" s="3" t="s">
        <v>371</v>
      </c>
      <c r="I49">
        <v>6552</v>
      </c>
      <c r="J49" s="3" t="s">
        <v>608</v>
      </c>
      <c r="K49">
        <v>330</v>
      </c>
      <c r="L49">
        <v>3</v>
      </c>
      <c r="M49">
        <v>3.6364E-2</v>
      </c>
      <c r="N49">
        <v>0.15534100000000001</v>
      </c>
      <c r="O49" s="3" t="s">
        <v>609</v>
      </c>
      <c r="P49" s="3" t="s">
        <v>105</v>
      </c>
      <c r="Q49">
        <v>979000000</v>
      </c>
      <c r="R49">
        <v>279631790080</v>
      </c>
      <c r="S49">
        <v>279631.79008000001</v>
      </c>
      <c r="T49" s="3" t="s">
        <v>399</v>
      </c>
      <c r="U49" s="3" t="s">
        <v>610</v>
      </c>
      <c r="V49" s="3" t="s">
        <v>366</v>
      </c>
      <c r="W49" s="3" t="s">
        <v>611</v>
      </c>
      <c r="X49">
        <v>1871447.79</v>
      </c>
      <c r="Y49">
        <v>1</v>
      </c>
      <c r="Z49">
        <v>-6500</v>
      </c>
      <c r="AA49" s="3" t="s">
        <v>612</v>
      </c>
      <c r="AB49" s="3" t="s">
        <v>115</v>
      </c>
      <c r="AC49" s="3" t="s">
        <v>613</v>
      </c>
      <c r="AD49" s="3" t="s">
        <v>614</v>
      </c>
      <c r="AE49">
        <v>-3400</v>
      </c>
      <c r="AF49">
        <v>19.432348000000001</v>
      </c>
      <c r="AG49">
        <v>33</v>
      </c>
    </row>
    <row r="50" spans="1:33" x14ac:dyDescent="0.25">
      <c r="A50" s="3" t="s">
        <v>615</v>
      </c>
      <c r="B50">
        <v>2177.54</v>
      </c>
      <c r="C50" s="3" t="s">
        <v>360</v>
      </c>
      <c r="D50" s="3" t="s">
        <v>360</v>
      </c>
      <c r="E50">
        <v>0.87</v>
      </c>
      <c r="F50">
        <v>0.86</v>
      </c>
      <c r="G50">
        <v>3</v>
      </c>
      <c r="H50" s="3" t="s">
        <v>371</v>
      </c>
      <c r="I50">
        <v>438</v>
      </c>
      <c r="J50" s="3" t="s">
        <v>34</v>
      </c>
      <c r="O50" s="3" t="s">
        <v>616</v>
      </c>
      <c r="P50" s="3" t="s">
        <v>103</v>
      </c>
      <c r="Q50">
        <v>21191500</v>
      </c>
      <c r="R50">
        <v>46145339392</v>
      </c>
      <c r="S50">
        <v>36472.762718999998</v>
      </c>
      <c r="T50" s="3" t="s">
        <v>617</v>
      </c>
      <c r="U50" s="3" t="s">
        <v>618</v>
      </c>
      <c r="V50" s="3" t="s">
        <v>366</v>
      </c>
      <c r="W50" s="3" t="s">
        <v>619</v>
      </c>
      <c r="X50">
        <v>753843.3</v>
      </c>
      <c r="Y50">
        <v>1.2652000000000001</v>
      </c>
      <c r="Z50">
        <v>0</v>
      </c>
      <c r="AA50" s="3" t="s">
        <v>34</v>
      </c>
      <c r="AB50" s="3" t="s">
        <v>34</v>
      </c>
      <c r="AC50" s="3" t="s">
        <v>620</v>
      </c>
      <c r="AD50" s="3" t="s">
        <v>621</v>
      </c>
      <c r="AE50">
        <v>0</v>
      </c>
    </row>
    <row r="51" spans="1:33" x14ac:dyDescent="0.25">
      <c r="A51" s="3" t="s">
        <v>55</v>
      </c>
      <c r="B51">
        <v>42.31</v>
      </c>
      <c r="C51" s="3" t="s">
        <v>360</v>
      </c>
      <c r="D51" s="3" t="s">
        <v>360</v>
      </c>
      <c r="E51">
        <v>0.28999999999999998</v>
      </c>
      <c r="F51">
        <v>0.73</v>
      </c>
      <c r="G51">
        <v>5</v>
      </c>
      <c r="H51" s="3" t="s">
        <v>361</v>
      </c>
      <c r="I51">
        <v>18698</v>
      </c>
      <c r="J51" s="3" t="s">
        <v>622</v>
      </c>
      <c r="K51">
        <v>47</v>
      </c>
      <c r="L51">
        <v>0.6</v>
      </c>
      <c r="M51">
        <v>5.1063999999999998E-2</v>
      </c>
      <c r="N51">
        <v>0.110848</v>
      </c>
      <c r="O51" s="3" t="s">
        <v>623</v>
      </c>
      <c r="P51" s="3" t="s">
        <v>105</v>
      </c>
      <c r="Q51">
        <v>734185024</v>
      </c>
      <c r="R51">
        <v>31063369728</v>
      </c>
      <c r="S51">
        <v>31063.369728000001</v>
      </c>
      <c r="T51" s="3" t="s">
        <v>399</v>
      </c>
      <c r="U51" s="3" t="s">
        <v>624</v>
      </c>
      <c r="V51" s="3" t="s">
        <v>366</v>
      </c>
      <c r="W51" s="3" t="s">
        <v>625</v>
      </c>
      <c r="X51">
        <v>791112.4</v>
      </c>
      <c r="Y51">
        <v>1</v>
      </c>
      <c r="Z51">
        <v>0</v>
      </c>
      <c r="AA51" s="3" t="s">
        <v>34</v>
      </c>
      <c r="AB51" s="3" t="s">
        <v>115</v>
      </c>
      <c r="AC51" s="3" t="s">
        <v>626</v>
      </c>
      <c r="AD51" s="3" t="s">
        <v>627</v>
      </c>
      <c r="AE51">
        <v>0</v>
      </c>
      <c r="AF51">
        <v>19.840208000000001</v>
      </c>
      <c r="AG51">
        <v>6</v>
      </c>
    </row>
    <row r="52" spans="1:33" x14ac:dyDescent="0.25">
      <c r="A52" s="3" t="s">
        <v>628</v>
      </c>
      <c r="B52">
        <v>143.85</v>
      </c>
      <c r="C52" s="3" t="s">
        <v>360</v>
      </c>
      <c r="D52" s="3" t="s">
        <v>360</v>
      </c>
      <c r="E52">
        <v>0.37</v>
      </c>
      <c r="F52">
        <v>0.09</v>
      </c>
      <c r="G52">
        <v>4</v>
      </c>
      <c r="H52" s="3" t="s">
        <v>379</v>
      </c>
      <c r="I52">
        <v>7828</v>
      </c>
      <c r="J52" s="3" t="s">
        <v>34</v>
      </c>
      <c r="O52" s="3" t="s">
        <v>629</v>
      </c>
      <c r="P52" s="3" t="s">
        <v>403</v>
      </c>
      <c r="Q52">
        <v>183520992</v>
      </c>
      <c r="R52">
        <v>26399496192</v>
      </c>
      <c r="S52">
        <v>30934.492843</v>
      </c>
      <c r="T52" s="3" t="s">
        <v>531</v>
      </c>
      <c r="U52" s="3" t="s">
        <v>630</v>
      </c>
      <c r="V52" s="3" t="s">
        <v>366</v>
      </c>
      <c r="W52" s="3" t="s">
        <v>631</v>
      </c>
      <c r="X52">
        <v>1319495.95</v>
      </c>
      <c r="Y52">
        <v>0.85340000000000005</v>
      </c>
      <c r="Z52">
        <v>0</v>
      </c>
      <c r="AA52" s="3" t="s">
        <v>34</v>
      </c>
      <c r="AB52" s="3" t="s">
        <v>34</v>
      </c>
      <c r="AC52" s="3" t="s">
        <v>632</v>
      </c>
      <c r="AD52" s="3" t="s">
        <v>633</v>
      </c>
      <c r="AE52">
        <v>0</v>
      </c>
    </row>
    <row r="53" spans="1:33" x14ac:dyDescent="0.25">
      <c r="A53" s="3" t="s">
        <v>634</v>
      </c>
      <c r="B53">
        <v>68.25</v>
      </c>
      <c r="C53" s="3" t="s">
        <v>360</v>
      </c>
      <c r="D53" s="3" t="s">
        <v>360</v>
      </c>
      <c r="E53">
        <v>0.08</v>
      </c>
      <c r="F53">
        <v>0.44</v>
      </c>
      <c r="G53">
        <v>8</v>
      </c>
      <c r="H53" s="3" t="s">
        <v>529</v>
      </c>
      <c r="I53">
        <v>0</v>
      </c>
      <c r="J53" s="3" t="s">
        <v>635</v>
      </c>
      <c r="K53">
        <v>77.5</v>
      </c>
      <c r="L53">
        <v>0.84</v>
      </c>
      <c r="M53">
        <v>3.2516000000000003E-2</v>
      </c>
      <c r="N53">
        <v>0.13553100000000001</v>
      </c>
      <c r="O53" s="3" t="s">
        <v>636</v>
      </c>
      <c r="P53" s="3" t="s">
        <v>105</v>
      </c>
      <c r="Q53">
        <v>523056992</v>
      </c>
      <c r="R53">
        <v>35698638848</v>
      </c>
      <c r="S53">
        <v>35698.638848000002</v>
      </c>
      <c r="T53" s="3" t="s">
        <v>399</v>
      </c>
      <c r="U53" s="3" t="s">
        <v>637</v>
      </c>
      <c r="V53" s="3" t="s">
        <v>366</v>
      </c>
      <c r="W53" s="3" t="s">
        <v>34</v>
      </c>
      <c r="X53">
        <v>0</v>
      </c>
      <c r="Y53">
        <v>1</v>
      </c>
      <c r="Z53">
        <v>0</v>
      </c>
      <c r="AA53" s="3" t="s">
        <v>34</v>
      </c>
      <c r="AB53" s="3" t="s">
        <v>390</v>
      </c>
      <c r="AC53" s="3" t="s">
        <v>35</v>
      </c>
      <c r="AD53" s="3" t="s">
        <v>391</v>
      </c>
      <c r="AE53">
        <v>0</v>
      </c>
      <c r="AF53">
        <v>14.854513000000001</v>
      </c>
      <c r="AG53">
        <v>5</v>
      </c>
    </row>
    <row r="54" spans="1:33" x14ac:dyDescent="0.25">
      <c r="A54" s="3" t="s">
        <v>638</v>
      </c>
      <c r="B54">
        <v>21.62</v>
      </c>
      <c r="C54" s="3" t="s">
        <v>360</v>
      </c>
      <c r="D54" s="3" t="s">
        <v>360</v>
      </c>
      <c r="E54">
        <v>0.22</v>
      </c>
      <c r="F54">
        <v>0.48</v>
      </c>
      <c r="G54">
        <v>8</v>
      </c>
      <c r="H54" s="3" t="s">
        <v>529</v>
      </c>
      <c r="I54">
        <v>0</v>
      </c>
      <c r="J54" s="3" t="s">
        <v>34</v>
      </c>
      <c r="O54" s="3" t="s">
        <v>639</v>
      </c>
      <c r="P54" s="3" t="s">
        <v>403</v>
      </c>
      <c r="Q54">
        <v>212835008</v>
      </c>
      <c r="R54">
        <v>4601492992</v>
      </c>
      <c r="S54">
        <v>5391.9533540000002</v>
      </c>
      <c r="T54" s="3" t="s">
        <v>404</v>
      </c>
      <c r="U54" s="3" t="s">
        <v>640</v>
      </c>
      <c r="V54" s="3" t="s">
        <v>406</v>
      </c>
      <c r="W54" s="3" t="s">
        <v>34</v>
      </c>
      <c r="X54">
        <v>0</v>
      </c>
      <c r="Y54">
        <v>0.85340000000000005</v>
      </c>
      <c r="Z54">
        <v>0</v>
      </c>
      <c r="AA54" s="3" t="s">
        <v>34</v>
      </c>
      <c r="AB54" s="3" t="s">
        <v>34</v>
      </c>
      <c r="AC54" s="3" t="s">
        <v>35</v>
      </c>
      <c r="AD54" s="3" t="s">
        <v>391</v>
      </c>
      <c r="AE54">
        <v>0</v>
      </c>
    </row>
    <row r="55" spans="1:33" x14ac:dyDescent="0.25">
      <c r="A55" s="3" t="s">
        <v>641</v>
      </c>
      <c r="B55">
        <v>324.5</v>
      </c>
      <c r="C55" s="3" t="s">
        <v>360</v>
      </c>
      <c r="D55" s="3" t="s">
        <v>360</v>
      </c>
      <c r="E55">
        <v>0.85</v>
      </c>
      <c r="F55">
        <v>0.23</v>
      </c>
      <c r="G55">
        <v>1</v>
      </c>
      <c r="H55" s="3" t="s">
        <v>402</v>
      </c>
      <c r="I55">
        <v>0</v>
      </c>
      <c r="J55" s="3" t="s">
        <v>642</v>
      </c>
      <c r="K55">
        <v>380</v>
      </c>
      <c r="L55">
        <v>1.25</v>
      </c>
      <c r="M55">
        <v>1.3158E-2</v>
      </c>
      <c r="N55">
        <v>0.17103199999999999</v>
      </c>
      <c r="O55" s="3" t="s">
        <v>643</v>
      </c>
      <c r="P55" s="3" t="s">
        <v>105</v>
      </c>
      <c r="Q55">
        <v>713900032</v>
      </c>
      <c r="R55">
        <v>231660552192</v>
      </c>
      <c r="S55">
        <v>231660.552192</v>
      </c>
      <c r="T55" s="3" t="s">
        <v>399</v>
      </c>
      <c r="U55" s="3" t="s">
        <v>644</v>
      </c>
      <c r="V55" s="3" t="s">
        <v>366</v>
      </c>
      <c r="W55" s="3" t="s">
        <v>34</v>
      </c>
      <c r="X55">
        <v>0</v>
      </c>
      <c r="Y55">
        <v>1</v>
      </c>
      <c r="Z55">
        <v>0</v>
      </c>
      <c r="AA55" s="3" t="s">
        <v>34</v>
      </c>
      <c r="AB55" s="3" t="s">
        <v>115</v>
      </c>
      <c r="AC55" s="3" t="s">
        <v>35</v>
      </c>
      <c r="AD55" s="3" t="s">
        <v>391</v>
      </c>
      <c r="AE55">
        <v>0</v>
      </c>
      <c r="AF55">
        <v>19.556557999999999</v>
      </c>
      <c r="AG55">
        <v>17</v>
      </c>
    </row>
    <row r="56" spans="1:33" x14ac:dyDescent="0.25">
      <c r="A56" s="3" t="s">
        <v>645</v>
      </c>
      <c r="B56">
        <v>176</v>
      </c>
      <c r="C56" s="3" t="s">
        <v>360</v>
      </c>
      <c r="D56" s="3" t="s">
        <v>360</v>
      </c>
      <c r="E56">
        <v>0.33</v>
      </c>
      <c r="F56">
        <v>0.86</v>
      </c>
      <c r="G56">
        <v>6</v>
      </c>
      <c r="H56" s="3" t="s">
        <v>524</v>
      </c>
      <c r="I56">
        <v>0</v>
      </c>
      <c r="J56" s="3" t="s">
        <v>646</v>
      </c>
      <c r="K56">
        <v>195</v>
      </c>
      <c r="L56">
        <v>1.88</v>
      </c>
      <c r="M56">
        <v>3.8564000000000001E-2</v>
      </c>
      <c r="N56">
        <v>0.107955</v>
      </c>
      <c r="O56" s="3" t="s">
        <v>647</v>
      </c>
      <c r="P56" s="3" t="s">
        <v>105</v>
      </c>
      <c r="Q56">
        <v>1817129984</v>
      </c>
      <c r="R56">
        <v>319814893568</v>
      </c>
      <c r="S56">
        <v>319814.893568</v>
      </c>
      <c r="T56" s="3" t="s">
        <v>399</v>
      </c>
      <c r="U56" s="3" t="s">
        <v>648</v>
      </c>
      <c r="V56" s="3" t="s">
        <v>366</v>
      </c>
      <c r="W56" s="3" t="s">
        <v>34</v>
      </c>
      <c r="X56">
        <v>0</v>
      </c>
      <c r="Y56">
        <v>1</v>
      </c>
      <c r="Z56">
        <v>0</v>
      </c>
      <c r="AA56" s="3" t="s">
        <v>34</v>
      </c>
      <c r="AB56" s="3" t="s">
        <v>115</v>
      </c>
      <c r="AC56" s="3" t="s">
        <v>35</v>
      </c>
      <c r="AD56" s="3" t="s">
        <v>391</v>
      </c>
      <c r="AE56">
        <v>0</v>
      </c>
      <c r="AF56">
        <v>19.840211</v>
      </c>
      <c r="AG56">
        <v>44</v>
      </c>
    </row>
    <row r="57" spans="1:33" x14ac:dyDescent="0.25">
      <c r="A57" s="3" t="s">
        <v>649</v>
      </c>
      <c r="B57">
        <v>489.84</v>
      </c>
      <c r="C57" s="3" t="s">
        <v>360</v>
      </c>
      <c r="D57" s="3" t="s">
        <v>360</v>
      </c>
      <c r="E57">
        <v>0.28999999999999998</v>
      </c>
      <c r="F57">
        <v>0</v>
      </c>
      <c r="G57">
        <v>4</v>
      </c>
      <c r="H57" s="3" t="s">
        <v>379</v>
      </c>
      <c r="I57">
        <v>0</v>
      </c>
      <c r="J57" s="3" t="s">
        <v>650</v>
      </c>
      <c r="K57">
        <v>560</v>
      </c>
      <c r="L57">
        <v>3.8</v>
      </c>
      <c r="M57">
        <v>2.7143E-2</v>
      </c>
      <c r="N57">
        <v>0.14323</v>
      </c>
      <c r="O57" s="3" t="s">
        <v>651</v>
      </c>
      <c r="P57" s="3" t="s">
        <v>105</v>
      </c>
      <c r="Q57">
        <v>36854200</v>
      </c>
      <c r="R57">
        <v>18052661248</v>
      </c>
      <c r="S57">
        <v>18052.661248</v>
      </c>
      <c r="T57" s="3" t="s">
        <v>399</v>
      </c>
      <c r="U57" s="3" t="s">
        <v>652</v>
      </c>
      <c r="V57" s="3" t="s">
        <v>366</v>
      </c>
      <c r="W57" s="3" t="s">
        <v>34</v>
      </c>
      <c r="X57">
        <v>0</v>
      </c>
      <c r="Y57">
        <v>1</v>
      </c>
      <c r="Z57">
        <v>0</v>
      </c>
      <c r="AA57" s="3" t="s">
        <v>34</v>
      </c>
      <c r="AB57" s="3" t="s">
        <v>115</v>
      </c>
      <c r="AC57" s="3" t="s">
        <v>35</v>
      </c>
      <c r="AD57" s="3" t="s">
        <v>391</v>
      </c>
      <c r="AE57">
        <v>0</v>
      </c>
      <c r="AF57">
        <v>18.343194</v>
      </c>
      <c r="AG57">
        <v>24</v>
      </c>
    </row>
    <row r="58" spans="1:33" x14ac:dyDescent="0.25">
      <c r="A58" s="3" t="s">
        <v>653</v>
      </c>
      <c r="B58">
        <v>49.8</v>
      </c>
      <c r="C58" s="3" t="s">
        <v>360</v>
      </c>
      <c r="D58" s="3" t="s">
        <v>360</v>
      </c>
      <c r="E58">
        <v>0.86</v>
      </c>
      <c r="F58">
        <v>0</v>
      </c>
      <c r="G58">
        <v>1</v>
      </c>
      <c r="H58" s="3" t="s">
        <v>402</v>
      </c>
      <c r="I58">
        <v>0</v>
      </c>
      <c r="J58" s="3" t="s">
        <v>34</v>
      </c>
      <c r="O58" s="3" t="s">
        <v>266</v>
      </c>
      <c r="P58" s="3" t="s">
        <v>654</v>
      </c>
      <c r="Q58">
        <v>90785696</v>
      </c>
      <c r="R58">
        <v>4521127424</v>
      </c>
      <c r="S58">
        <v>4891.7773969999998</v>
      </c>
      <c r="T58" s="3" t="s">
        <v>655</v>
      </c>
      <c r="U58" s="3" t="s">
        <v>656</v>
      </c>
      <c r="V58" s="3" t="s">
        <v>406</v>
      </c>
      <c r="W58" s="3" t="s">
        <v>34</v>
      </c>
      <c r="X58">
        <v>0</v>
      </c>
      <c r="Y58">
        <v>0.92420000000000002</v>
      </c>
      <c r="Z58">
        <v>0</v>
      </c>
      <c r="AA58" s="3" t="s">
        <v>34</v>
      </c>
      <c r="AB58" s="3" t="s">
        <v>34</v>
      </c>
      <c r="AC58" s="3" t="s">
        <v>35</v>
      </c>
      <c r="AD58" s="3" t="s">
        <v>391</v>
      </c>
      <c r="AE58">
        <v>0</v>
      </c>
    </row>
    <row r="59" spans="1:33" x14ac:dyDescent="0.25">
      <c r="A59" s="3" t="s">
        <v>657</v>
      </c>
      <c r="B59">
        <v>560.74</v>
      </c>
      <c r="C59" s="3" t="s">
        <v>360</v>
      </c>
      <c r="D59" s="3" t="s">
        <v>360</v>
      </c>
      <c r="E59">
        <v>0.91</v>
      </c>
      <c r="F59">
        <v>0.39</v>
      </c>
      <c r="G59">
        <v>2</v>
      </c>
      <c r="H59" s="3" t="s">
        <v>415</v>
      </c>
      <c r="I59">
        <v>0</v>
      </c>
      <c r="J59" s="3" t="s">
        <v>658</v>
      </c>
      <c r="K59">
        <v>730</v>
      </c>
      <c r="L59">
        <v>1.55</v>
      </c>
      <c r="M59">
        <v>8.4930000000000005E-3</v>
      </c>
      <c r="N59">
        <v>0.30185099999999998</v>
      </c>
      <c r="O59" s="3" t="s">
        <v>659</v>
      </c>
      <c r="P59" s="3" t="s">
        <v>105</v>
      </c>
      <c r="Q59">
        <v>96748896</v>
      </c>
      <c r="R59">
        <v>54250975232</v>
      </c>
      <c r="S59">
        <v>54250.975231999997</v>
      </c>
      <c r="T59" s="3" t="s">
        <v>382</v>
      </c>
      <c r="U59" s="3" t="s">
        <v>660</v>
      </c>
      <c r="V59" s="3" t="s">
        <v>366</v>
      </c>
      <c r="W59" s="3" t="s">
        <v>34</v>
      </c>
      <c r="X59">
        <v>0</v>
      </c>
      <c r="Y59">
        <v>1</v>
      </c>
      <c r="Z59">
        <v>0</v>
      </c>
      <c r="AA59" s="3" t="s">
        <v>34</v>
      </c>
      <c r="AB59" s="3" t="s">
        <v>115</v>
      </c>
      <c r="AC59" s="3" t="s">
        <v>35</v>
      </c>
      <c r="AD59" s="3" t="s">
        <v>391</v>
      </c>
      <c r="AE59">
        <v>0</v>
      </c>
      <c r="AF59">
        <v>24.367802000000001</v>
      </c>
      <c r="AG59">
        <v>16</v>
      </c>
    </row>
    <row r="60" spans="1:33" x14ac:dyDescent="0.25">
      <c r="A60" s="3" t="s">
        <v>661</v>
      </c>
      <c r="B60">
        <v>223.77</v>
      </c>
      <c r="C60" s="3" t="s">
        <v>360</v>
      </c>
      <c r="D60" s="3" t="s">
        <v>360</v>
      </c>
      <c r="E60">
        <v>0.72</v>
      </c>
      <c r="F60">
        <v>0.24</v>
      </c>
      <c r="G60">
        <v>4</v>
      </c>
      <c r="H60" s="3" t="s">
        <v>379</v>
      </c>
      <c r="I60">
        <v>0</v>
      </c>
      <c r="J60" s="3" t="s">
        <v>662</v>
      </c>
      <c r="K60">
        <v>250</v>
      </c>
      <c r="L60">
        <v>2.0499999999999998</v>
      </c>
      <c r="M60">
        <v>2.46E-2</v>
      </c>
      <c r="N60">
        <v>0.117219</v>
      </c>
      <c r="O60" s="3" t="s">
        <v>663</v>
      </c>
      <c r="P60" s="3" t="s">
        <v>105</v>
      </c>
      <c r="Q60">
        <v>285936992</v>
      </c>
      <c r="R60">
        <v>64017690624</v>
      </c>
      <c r="S60">
        <v>64017.690624000003</v>
      </c>
      <c r="T60" s="3" t="s">
        <v>399</v>
      </c>
      <c r="U60" s="3" t="s">
        <v>664</v>
      </c>
      <c r="V60" s="3" t="s">
        <v>366</v>
      </c>
      <c r="W60" s="3" t="s">
        <v>34</v>
      </c>
      <c r="X60">
        <v>0</v>
      </c>
      <c r="Y60">
        <v>1</v>
      </c>
      <c r="Z60">
        <v>0</v>
      </c>
      <c r="AA60" s="3" t="s">
        <v>34</v>
      </c>
      <c r="AB60" s="3" t="s">
        <v>390</v>
      </c>
      <c r="AC60" s="3" t="s">
        <v>35</v>
      </c>
      <c r="AD60" s="3" t="s">
        <v>391</v>
      </c>
      <c r="AE60">
        <v>0</v>
      </c>
      <c r="AF60">
        <v>19.741099999999999</v>
      </c>
      <c r="AG60">
        <v>25</v>
      </c>
    </row>
    <row r="61" spans="1:33" x14ac:dyDescent="0.25">
      <c r="A61" s="3" t="s">
        <v>62</v>
      </c>
      <c r="B61">
        <v>1.87</v>
      </c>
      <c r="C61" s="3" t="s">
        <v>360</v>
      </c>
      <c r="D61" s="3" t="s">
        <v>360</v>
      </c>
      <c r="E61">
        <v>0.04</v>
      </c>
      <c r="F61">
        <v>0</v>
      </c>
      <c r="G61">
        <v>7</v>
      </c>
      <c r="H61" s="3" t="s">
        <v>454</v>
      </c>
      <c r="I61">
        <v>964866</v>
      </c>
      <c r="J61" s="3" t="s">
        <v>665</v>
      </c>
      <c r="K61">
        <v>5</v>
      </c>
      <c r="L61">
        <v>0.05</v>
      </c>
      <c r="M61">
        <v>0.04</v>
      </c>
      <c r="N61">
        <v>1.673797</v>
      </c>
      <c r="O61" s="3" t="s">
        <v>666</v>
      </c>
      <c r="P61" s="3" t="s">
        <v>105</v>
      </c>
      <c r="Q61">
        <v>1701660032</v>
      </c>
      <c r="R61">
        <v>3219485696</v>
      </c>
      <c r="S61">
        <v>3219.4856960000002</v>
      </c>
      <c r="T61" s="3" t="s">
        <v>399</v>
      </c>
      <c r="U61" s="3" t="s">
        <v>667</v>
      </c>
      <c r="V61" s="3" t="s">
        <v>406</v>
      </c>
      <c r="W61" s="3" t="s">
        <v>668</v>
      </c>
      <c r="X61">
        <v>1804299.42</v>
      </c>
      <c r="Y61">
        <v>1</v>
      </c>
      <c r="Z61">
        <v>0</v>
      </c>
      <c r="AA61" s="3" t="s">
        <v>34</v>
      </c>
      <c r="AB61" s="3" t="s">
        <v>115</v>
      </c>
      <c r="AC61" s="3" t="s">
        <v>669</v>
      </c>
      <c r="AD61" s="3" t="s">
        <v>670</v>
      </c>
      <c r="AE61">
        <v>0</v>
      </c>
    </row>
    <row r="62" spans="1:33" x14ac:dyDescent="0.25">
      <c r="A62" s="3" t="s">
        <v>671</v>
      </c>
      <c r="B62">
        <v>265.5</v>
      </c>
      <c r="C62" s="3" t="s">
        <v>360</v>
      </c>
      <c r="D62" s="3" t="s">
        <v>360</v>
      </c>
      <c r="E62">
        <v>0.56999999999999995</v>
      </c>
      <c r="F62">
        <v>0.36</v>
      </c>
      <c r="G62">
        <v>5</v>
      </c>
      <c r="H62" s="3" t="s">
        <v>361</v>
      </c>
      <c r="I62">
        <v>0</v>
      </c>
      <c r="J62" s="3" t="s">
        <v>672</v>
      </c>
      <c r="K62">
        <v>290</v>
      </c>
      <c r="L62">
        <v>5.8</v>
      </c>
      <c r="M62">
        <v>0.04</v>
      </c>
      <c r="N62">
        <v>9.2279E-2</v>
      </c>
      <c r="O62" s="3" t="s">
        <v>673</v>
      </c>
      <c r="P62" s="3" t="s">
        <v>105</v>
      </c>
      <c r="Q62">
        <v>121837000</v>
      </c>
      <c r="R62">
        <v>32347723776</v>
      </c>
      <c r="S62">
        <v>32347.723775999999</v>
      </c>
      <c r="T62" s="3" t="s">
        <v>399</v>
      </c>
      <c r="U62" s="3" t="s">
        <v>674</v>
      </c>
      <c r="V62" s="3" t="s">
        <v>366</v>
      </c>
      <c r="W62" s="3" t="s">
        <v>34</v>
      </c>
      <c r="X62">
        <v>0</v>
      </c>
      <c r="Y62">
        <v>1</v>
      </c>
      <c r="Z62">
        <v>0</v>
      </c>
      <c r="AA62" s="3" t="s">
        <v>34</v>
      </c>
      <c r="AB62" s="3" t="s">
        <v>390</v>
      </c>
      <c r="AC62" s="3" t="s">
        <v>35</v>
      </c>
      <c r="AD62" s="3" t="s">
        <v>391</v>
      </c>
      <c r="AE62">
        <v>0</v>
      </c>
      <c r="AF62">
        <v>18.563683999999999</v>
      </c>
      <c r="AG62">
        <v>21</v>
      </c>
    </row>
    <row r="63" spans="1:33" x14ac:dyDescent="0.25">
      <c r="A63" s="3" t="s">
        <v>675</v>
      </c>
      <c r="B63">
        <v>320.64999999999998</v>
      </c>
      <c r="C63" s="3" t="s">
        <v>360</v>
      </c>
      <c r="D63" s="3" t="s">
        <v>360</v>
      </c>
      <c r="E63">
        <v>0.3</v>
      </c>
      <c r="F63">
        <v>0.16</v>
      </c>
      <c r="G63">
        <v>4</v>
      </c>
      <c r="H63" s="3" t="s">
        <v>379</v>
      </c>
      <c r="I63">
        <v>0</v>
      </c>
      <c r="J63" s="3" t="s">
        <v>676</v>
      </c>
      <c r="K63">
        <v>370</v>
      </c>
      <c r="L63">
        <v>2.25</v>
      </c>
      <c r="M63">
        <v>1.8242999999999999E-2</v>
      </c>
      <c r="N63">
        <v>0.15390599999999999</v>
      </c>
      <c r="O63" s="3" t="s">
        <v>677</v>
      </c>
      <c r="P63" s="3" t="s">
        <v>105</v>
      </c>
      <c r="Q63">
        <v>233044992</v>
      </c>
      <c r="R63">
        <v>115846676480</v>
      </c>
      <c r="S63">
        <v>115846.67647999999</v>
      </c>
      <c r="T63" s="3" t="s">
        <v>399</v>
      </c>
      <c r="U63" s="3" t="s">
        <v>678</v>
      </c>
      <c r="V63" s="3" t="s">
        <v>366</v>
      </c>
      <c r="W63" s="3" t="s">
        <v>34</v>
      </c>
      <c r="X63">
        <v>0</v>
      </c>
      <c r="Y63">
        <v>1</v>
      </c>
      <c r="Z63">
        <v>0</v>
      </c>
      <c r="AA63" s="3" t="s">
        <v>34</v>
      </c>
      <c r="AB63" s="3" t="s">
        <v>390</v>
      </c>
      <c r="AC63" s="3" t="s">
        <v>35</v>
      </c>
      <c r="AD63" s="3" t="s">
        <v>391</v>
      </c>
      <c r="AE63">
        <v>0</v>
      </c>
      <c r="AF63">
        <v>18.579205999999999</v>
      </c>
      <c r="AG63">
        <v>23</v>
      </c>
    </row>
    <row r="64" spans="1:33" x14ac:dyDescent="0.25">
      <c r="A64" s="3" t="s">
        <v>679</v>
      </c>
      <c r="B64">
        <v>96.31</v>
      </c>
      <c r="C64" s="3" t="s">
        <v>360</v>
      </c>
      <c r="D64" s="3" t="s">
        <v>360</v>
      </c>
      <c r="E64">
        <v>0.24</v>
      </c>
      <c r="F64">
        <v>0.9</v>
      </c>
      <c r="G64">
        <v>9</v>
      </c>
      <c r="H64" s="3" t="s">
        <v>428</v>
      </c>
      <c r="I64">
        <v>0</v>
      </c>
      <c r="J64" s="3" t="s">
        <v>680</v>
      </c>
      <c r="K64">
        <v>105</v>
      </c>
      <c r="L64">
        <v>1.05</v>
      </c>
      <c r="M64">
        <v>0.04</v>
      </c>
      <c r="N64">
        <v>9.0229000000000004E-2</v>
      </c>
      <c r="O64" s="3" t="s">
        <v>681</v>
      </c>
      <c r="P64" s="3" t="s">
        <v>105</v>
      </c>
      <c r="Q64">
        <v>597800000</v>
      </c>
      <c r="R64">
        <v>57574117376</v>
      </c>
      <c r="S64">
        <v>57574.117376000002</v>
      </c>
      <c r="T64" s="3" t="s">
        <v>399</v>
      </c>
      <c r="U64" s="3" t="s">
        <v>682</v>
      </c>
      <c r="V64" s="3" t="s">
        <v>366</v>
      </c>
      <c r="W64" s="3" t="s">
        <v>34</v>
      </c>
      <c r="X64">
        <v>0</v>
      </c>
      <c r="Y64">
        <v>1</v>
      </c>
      <c r="Z64">
        <v>0</v>
      </c>
      <c r="AA64" s="3" t="s">
        <v>34</v>
      </c>
      <c r="AB64" s="3" t="s">
        <v>115</v>
      </c>
      <c r="AC64" s="3" t="s">
        <v>35</v>
      </c>
      <c r="AD64" s="3" t="s">
        <v>391</v>
      </c>
      <c r="AE64">
        <v>0</v>
      </c>
      <c r="AF64">
        <v>19.736577</v>
      </c>
      <c r="AG64">
        <v>25</v>
      </c>
    </row>
    <row r="65" spans="1:33" x14ac:dyDescent="0.25">
      <c r="A65" s="3" t="s">
        <v>50</v>
      </c>
      <c r="B65">
        <v>222.85</v>
      </c>
      <c r="C65" s="3" t="s">
        <v>360</v>
      </c>
      <c r="D65" s="3" t="s">
        <v>360</v>
      </c>
      <c r="E65">
        <v>0.92</v>
      </c>
      <c r="F65">
        <v>0.72</v>
      </c>
      <c r="G65">
        <v>2</v>
      </c>
      <c r="H65" s="3" t="s">
        <v>415</v>
      </c>
      <c r="I65">
        <v>4117</v>
      </c>
      <c r="J65" s="3" t="s">
        <v>683</v>
      </c>
      <c r="K65">
        <v>300</v>
      </c>
      <c r="L65">
        <v>2.52</v>
      </c>
      <c r="M65">
        <v>3.3599999999999998E-2</v>
      </c>
      <c r="N65">
        <v>0.34619699999999998</v>
      </c>
      <c r="O65" s="3" t="s">
        <v>684</v>
      </c>
      <c r="P65" s="3" t="s">
        <v>105</v>
      </c>
      <c r="Q65">
        <v>126577000</v>
      </c>
      <c r="R65">
        <v>28207685632</v>
      </c>
      <c r="S65">
        <v>28207.685632000001</v>
      </c>
      <c r="T65" s="3" t="s">
        <v>382</v>
      </c>
      <c r="U65" s="3" t="s">
        <v>685</v>
      </c>
      <c r="V65" s="3" t="s">
        <v>366</v>
      </c>
      <c r="W65" s="3" t="s">
        <v>686</v>
      </c>
      <c r="X65">
        <v>917473.47</v>
      </c>
      <c r="Y65">
        <v>1</v>
      </c>
      <c r="Z65">
        <v>0</v>
      </c>
      <c r="AA65" s="3" t="s">
        <v>34</v>
      </c>
      <c r="AB65" s="3" t="s">
        <v>115</v>
      </c>
      <c r="AC65" s="3" t="s">
        <v>687</v>
      </c>
      <c r="AD65" s="3" t="s">
        <v>688</v>
      </c>
      <c r="AE65">
        <v>0</v>
      </c>
      <c r="AF65">
        <v>18.231258</v>
      </c>
      <c r="AG65">
        <v>14</v>
      </c>
    </row>
    <row r="66" spans="1:33" x14ac:dyDescent="0.25">
      <c r="A66" s="3" t="s">
        <v>689</v>
      </c>
      <c r="B66">
        <v>64</v>
      </c>
      <c r="C66" s="3" t="s">
        <v>360</v>
      </c>
      <c r="D66" s="3" t="s">
        <v>360</v>
      </c>
      <c r="E66">
        <v>1</v>
      </c>
      <c r="F66">
        <v>1</v>
      </c>
      <c r="G66">
        <v>3</v>
      </c>
      <c r="H66" s="3" t="s">
        <v>371</v>
      </c>
      <c r="I66">
        <v>0</v>
      </c>
      <c r="J66" s="3" t="s">
        <v>34</v>
      </c>
      <c r="O66" s="3" t="s">
        <v>690</v>
      </c>
      <c r="P66" s="3" t="s">
        <v>403</v>
      </c>
      <c r="Q66">
        <v>95991296</v>
      </c>
      <c r="R66">
        <v>6143442944</v>
      </c>
      <c r="S66">
        <v>7198.7847949999996</v>
      </c>
      <c r="T66" s="3" t="s">
        <v>531</v>
      </c>
      <c r="U66" s="3" t="s">
        <v>691</v>
      </c>
      <c r="V66" s="3" t="s">
        <v>406</v>
      </c>
      <c r="W66" s="3" t="s">
        <v>34</v>
      </c>
      <c r="X66">
        <v>0</v>
      </c>
      <c r="Y66">
        <v>0.85340000000000005</v>
      </c>
      <c r="Z66">
        <v>0</v>
      </c>
      <c r="AA66" s="3" t="s">
        <v>34</v>
      </c>
      <c r="AB66" s="3" t="s">
        <v>34</v>
      </c>
      <c r="AC66" s="3" t="s">
        <v>35</v>
      </c>
      <c r="AD66" s="3" t="s">
        <v>391</v>
      </c>
      <c r="AE66">
        <v>0</v>
      </c>
    </row>
    <row r="67" spans="1:33" x14ac:dyDescent="0.25">
      <c r="A67" s="3" t="s">
        <v>692</v>
      </c>
      <c r="B67">
        <v>3281</v>
      </c>
      <c r="C67" s="3" t="s">
        <v>360</v>
      </c>
      <c r="D67" s="3" t="s">
        <v>360</v>
      </c>
      <c r="E67">
        <v>0.97</v>
      </c>
      <c r="F67">
        <v>1</v>
      </c>
      <c r="G67">
        <v>3</v>
      </c>
      <c r="H67" s="3" t="s">
        <v>371</v>
      </c>
      <c r="I67">
        <v>0</v>
      </c>
      <c r="J67" s="3" t="s">
        <v>34</v>
      </c>
      <c r="O67" s="3" t="s">
        <v>693</v>
      </c>
      <c r="P67" s="3" t="s">
        <v>694</v>
      </c>
      <c r="Q67">
        <v>922334016</v>
      </c>
      <c r="R67">
        <v>30261780480</v>
      </c>
      <c r="S67">
        <v>30261.780480000001</v>
      </c>
      <c r="T67" s="3" t="s">
        <v>695</v>
      </c>
      <c r="U67" s="3" t="s">
        <v>696</v>
      </c>
      <c r="V67" s="3" t="s">
        <v>366</v>
      </c>
      <c r="W67" s="3" t="s">
        <v>34</v>
      </c>
      <c r="X67">
        <v>0</v>
      </c>
      <c r="Y67">
        <v>1</v>
      </c>
      <c r="Z67">
        <v>0</v>
      </c>
      <c r="AA67" s="3" t="s">
        <v>34</v>
      </c>
      <c r="AB67" s="3" t="s">
        <v>34</v>
      </c>
      <c r="AC67" s="3" t="s">
        <v>35</v>
      </c>
      <c r="AD67" s="3" t="s">
        <v>391</v>
      </c>
      <c r="AE67">
        <v>0</v>
      </c>
    </row>
    <row r="68" spans="1:33" x14ac:dyDescent="0.25">
      <c r="A68" s="3" t="s">
        <v>697</v>
      </c>
      <c r="B68">
        <v>54.1</v>
      </c>
      <c r="C68" s="3" t="s">
        <v>360</v>
      </c>
      <c r="D68" s="3" t="s">
        <v>360</v>
      </c>
      <c r="E68">
        <v>0.4</v>
      </c>
      <c r="F68">
        <v>0.19</v>
      </c>
      <c r="G68">
        <v>4</v>
      </c>
      <c r="H68" s="3" t="s">
        <v>379</v>
      </c>
      <c r="I68">
        <v>0</v>
      </c>
      <c r="J68" s="3" t="s">
        <v>698</v>
      </c>
      <c r="K68">
        <v>59.6</v>
      </c>
      <c r="L68">
        <v>0.65</v>
      </c>
      <c r="M68">
        <v>3.2717999999999997E-2</v>
      </c>
      <c r="N68">
        <v>0.101664</v>
      </c>
      <c r="O68" s="3" t="s">
        <v>699</v>
      </c>
      <c r="P68" s="3" t="s">
        <v>105</v>
      </c>
      <c r="Q68">
        <v>574739008</v>
      </c>
      <c r="R68">
        <v>31093379072</v>
      </c>
      <c r="S68">
        <v>31093.379072</v>
      </c>
      <c r="T68" s="3" t="s">
        <v>382</v>
      </c>
      <c r="U68" s="3" t="s">
        <v>700</v>
      </c>
      <c r="V68" s="3" t="s">
        <v>366</v>
      </c>
      <c r="W68" s="3" t="s">
        <v>34</v>
      </c>
      <c r="X68">
        <v>0</v>
      </c>
      <c r="Y68">
        <v>1</v>
      </c>
      <c r="Z68">
        <v>0</v>
      </c>
      <c r="AA68" s="3" t="s">
        <v>34</v>
      </c>
      <c r="AB68" s="3" t="s">
        <v>390</v>
      </c>
      <c r="AC68" s="3" t="s">
        <v>35</v>
      </c>
      <c r="AD68" s="3" t="s">
        <v>391</v>
      </c>
      <c r="AE68">
        <v>0</v>
      </c>
      <c r="AF68">
        <v>17.9941</v>
      </c>
      <c r="AG68">
        <v>23</v>
      </c>
    </row>
    <row r="69" spans="1:33" x14ac:dyDescent="0.25">
      <c r="A69" s="3" t="s">
        <v>37</v>
      </c>
      <c r="B69">
        <v>352.96</v>
      </c>
      <c r="C69" s="3" t="s">
        <v>360</v>
      </c>
      <c r="D69" s="3" t="s">
        <v>360</v>
      </c>
      <c r="E69">
        <v>0.35</v>
      </c>
      <c r="F69">
        <v>0.28999999999999998</v>
      </c>
      <c r="G69">
        <v>5</v>
      </c>
      <c r="H69" s="3" t="s">
        <v>361</v>
      </c>
      <c r="I69">
        <v>4081</v>
      </c>
      <c r="J69" s="3" t="s">
        <v>701</v>
      </c>
      <c r="K69">
        <v>400</v>
      </c>
      <c r="L69">
        <v>4.05</v>
      </c>
      <c r="M69">
        <v>4.0500000000000001E-2</v>
      </c>
      <c r="N69">
        <v>0.133273</v>
      </c>
      <c r="O69" s="3" t="s">
        <v>702</v>
      </c>
      <c r="P69" s="3" t="s">
        <v>105</v>
      </c>
      <c r="Q69">
        <v>2147483647</v>
      </c>
      <c r="R69">
        <v>995149545472</v>
      </c>
      <c r="S69">
        <v>995149.54547200003</v>
      </c>
      <c r="T69" s="3" t="s">
        <v>382</v>
      </c>
      <c r="U69" s="3" t="s">
        <v>703</v>
      </c>
      <c r="V69" s="3" t="s">
        <v>366</v>
      </c>
      <c r="W69" s="3" t="s">
        <v>704</v>
      </c>
      <c r="X69">
        <v>1440429.72</v>
      </c>
      <c r="Y69">
        <v>1</v>
      </c>
      <c r="Z69">
        <v>-4000</v>
      </c>
      <c r="AA69" s="3" t="s">
        <v>705</v>
      </c>
      <c r="AB69" s="3" t="s">
        <v>115</v>
      </c>
      <c r="AC69" s="3" t="s">
        <v>706</v>
      </c>
      <c r="AD69" s="3" t="s">
        <v>707</v>
      </c>
      <c r="AE69">
        <v>-1900</v>
      </c>
      <c r="AF69">
        <v>18.006388000000001</v>
      </c>
      <c r="AG69">
        <v>48</v>
      </c>
    </row>
    <row r="70" spans="1:33" x14ac:dyDescent="0.25">
      <c r="A70" s="3" t="s">
        <v>45</v>
      </c>
      <c r="B70">
        <v>267.11</v>
      </c>
      <c r="C70" s="3" t="s">
        <v>360</v>
      </c>
      <c r="D70" s="3" t="s">
        <v>360</v>
      </c>
      <c r="E70">
        <v>1</v>
      </c>
      <c r="F70">
        <v>0.04</v>
      </c>
      <c r="G70">
        <v>1</v>
      </c>
      <c r="H70" s="3" t="s">
        <v>402</v>
      </c>
      <c r="I70">
        <v>3976</v>
      </c>
      <c r="J70" s="3" t="s">
        <v>708</v>
      </c>
      <c r="K70">
        <v>270</v>
      </c>
      <c r="L70">
        <v>14.4</v>
      </c>
      <c r="M70">
        <v>0.106667</v>
      </c>
      <c r="N70">
        <v>1.082E-2</v>
      </c>
      <c r="O70" s="3" t="s">
        <v>709</v>
      </c>
      <c r="P70" s="3" t="s">
        <v>105</v>
      </c>
      <c r="Q70">
        <v>82604096</v>
      </c>
      <c r="R70">
        <v>22064377856</v>
      </c>
      <c r="S70">
        <v>22064.377855999999</v>
      </c>
      <c r="T70" s="3" t="s">
        <v>399</v>
      </c>
      <c r="U70" s="3" t="s">
        <v>710</v>
      </c>
      <c r="V70" s="3" t="s">
        <v>366</v>
      </c>
      <c r="W70" s="3" t="s">
        <v>711</v>
      </c>
      <c r="X70">
        <v>1062029.3</v>
      </c>
      <c r="Y70">
        <v>1</v>
      </c>
      <c r="Z70">
        <v>0</v>
      </c>
      <c r="AA70" s="3" t="s">
        <v>34</v>
      </c>
      <c r="AB70" s="3" t="s">
        <v>390</v>
      </c>
      <c r="AC70" s="3" t="s">
        <v>712</v>
      </c>
      <c r="AD70" s="3" t="s">
        <v>713</v>
      </c>
      <c r="AE70">
        <v>0</v>
      </c>
      <c r="AF70">
        <v>17.214970999999998</v>
      </c>
      <c r="AG70">
        <v>21</v>
      </c>
    </row>
    <row r="71" spans="1:33" x14ac:dyDescent="0.25">
      <c r="A71" s="3" t="s">
        <v>714</v>
      </c>
      <c r="B71">
        <v>88.52</v>
      </c>
      <c r="C71" s="3" t="s">
        <v>360</v>
      </c>
      <c r="D71" s="3" t="s">
        <v>360</v>
      </c>
      <c r="E71">
        <v>0.87</v>
      </c>
      <c r="F71">
        <v>0.92</v>
      </c>
      <c r="G71">
        <v>3</v>
      </c>
      <c r="H71" s="3" t="s">
        <v>371</v>
      </c>
      <c r="I71">
        <v>0</v>
      </c>
      <c r="J71" s="3" t="s">
        <v>715</v>
      </c>
      <c r="K71">
        <v>90</v>
      </c>
      <c r="L71">
        <v>3</v>
      </c>
      <c r="M71">
        <v>6.6667000000000004E-2</v>
      </c>
      <c r="N71">
        <v>1.6719000000000001E-2</v>
      </c>
      <c r="O71" s="3" t="s">
        <v>716</v>
      </c>
      <c r="P71" s="3" t="s">
        <v>105</v>
      </c>
      <c r="Q71">
        <v>357823008</v>
      </c>
      <c r="R71">
        <v>31674490880</v>
      </c>
      <c r="S71">
        <v>31674.490880000001</v>
      </c>
      <c r="T71" s="3" t="s">
        <v>399</v>
      </c>
      <c r="U71" s="3" t="s">
        <v>717</v>
      </c>
      <c r="V71" s="3" t="s">
        <v>366</v>
      </c>
      <c r="W71" s="3" t="s">
        <v>34</v>
      </c>
      <c r="X71">
        <v>0</v>
      </c>
      <c r="Y71">
        <v>1</v>
      </c>
      <c r="Z71">
        <v>0</v>
      </c>
      <c r="AA71" s="3" t="s">
        <v>34</v>
      </c>
      <c r="AB71" s="3" t="s">
        <v>390</v>
      </c>
      <c r="AC71" s="3" t="s">
        <v>35</v>
      </c>
      <c r="AD71" s="3" t="s">
        <v>391</v>
      </c>
      <c r="AE71">
        <v>0</v>
      </c>
      <c r="AF71">
        <v>19.792365</v>
      </c>
      <c r="AG71">
        <v>23</v>
      </c>
    </row>
    <row r="72" spans="1:33" x14ac:dyDescent="0.25">
      <c r="A72" s="3" t="s">
        <v>61</v>
      </c>
      <c r="B72">
        <v>42.32</v>
      </c>
      <c r="C72" s="3" t="s">
        <v>360</v>
      </c>
      <c r="D72" s="3" t="s">
        <v>360</v>
      </c>
      <c r="E72">
        <v>0.11</v>
      </c>
      <c r="F72">
        <v>0.66</v>
      </c>
      <c r="G72">
        <v>8</v>
      </c>
      <c r="H72" s="3" t="s">
        <v>529</v>
      </c>
      <c r="I72">
        <v>13939</v>
      </c>
      <c r="J72" s="3" t="s">
        <v>718</v>
      </c>
      <c r="K72">
        <v>45</v>
      </c>
      <c r="L72">
        <v>1.7</v>
      </c>
      <c r="M72">
        <v>0.113333</v>
      </c>
      <c r="N72">
        <v>6.3326999999999994E-2</v>
      </c>
      <c r="O72" s="3" t="s">
        <v>719</v>
      </c>
      <c r="P72" s="3" t="s">
        <v>105</v>
      </c>
      <c r="Q72">
        <v>85747104</v>
      </c>
      <c r="R72">
        <v>3628817408</v>
      </c>
      <c r="S72">
        <v>3628.8174079999999</v>
      </c>
      <c r="T72" s="3" t="s">
        <v>382</v>
      </c>
      <c r="U72" s="3" t="s">
        <v>720</v>
      </c>
      <c r="V72" s="3" t="s">
        <v>406</v>
      </c>
      <c r="W72" s="3" t="s">
        <v>721</v>
      </c>
      <c r="X72">
        <v>589898.48</v>
      </c>
      <c r="Y72">
        <v>1</v>
      </c>
      <c r="Z72">
        <v>0</v>
      </c>
      <c r="AA72" s="3" t="s">
        <v>34</v>
      </c>
      <c r="AB72" s="3" t="s">
        <v>390</v>
      </c>
      <c r="AC72" s="3" t="s">
        <v>722</v>
      </c>
      <c r="AD72" s="3" t="s">
        <v>723</v>
      </c>
      <c r="AE72">
        <v>0</v>
      </c>
      <c r="AF72">
        <v>19.172796000000002</v>
      </c>
      <c r="AG72">
        <v>5</v>
      </c>
    </row>
    <row r="73" spans="1:33" x14ac:dyDescent="0.25">
      <c r="A73" s="3" t="s">
        <v>724</v>
      </c>
      <c r="B73">
        <v>73.260000000000005</v>
      </c>
      <c r="C73" s="3" t="s">
        <v>360</v>
      </c>
      <c r="D73" s="3" t="s">
        <v>360</v>
      </c>
      <c r="E73">
        <v>0.65</v>
      </c>
      <c r="F73">
        <v>0.82</v>
      </c>
      <c r="G73">
        <v>6</v>
      </c>
      <c r="H73" s="3" t="s">
        <v>524</v>
      </c>
      <c r="I73">
        <v>0</v>
      </c>
      <c r="J73" s="3" t="s">
        <v>725</v>
      </c>
      <c r="K73">
        <v>85</v>
      </c>
      <c r="L73">
        <v>0.25</v>
      </c>
      <c r="M73">
        <v>1.1764999999999999E-2</v>
      </c>
      <c r="N73">
        <v>0.160251</v>
      </c>
      <c r="O73" s="3" t="s">
        <v>726</v>
      </c>
      <c r="P73" s="3" t="s">
        <v>105</v>
      </c>
      <c r="Q73">
        <v>358391008</v>
      </c>
      <c r="R73">
        <v>26255726592</v>
      </c>
      <c r="S73">
        <v>26255.726591999999</v>
      </c>
      <c r="T73" s="3" t="s">
        <v>399</v>
      </c>
      <c r="U73" s="3" t="s">
        <v>727</v>
      </c>
      <c r="V73" s="3" t="s">
        <v>366</v>
      </c>
      <c r="W73" s="3" t="s">
        <v>34</v>
      </c>
      <c r="X73">
        <v>0</v>
      </c>
      <c r="Y73">
        <v>1</v>
      </c>
      <c r="Z73">
        <v>0</v>
      </c>
      <c r="AA73" s="3" t="s">
        <v>34</v>
      </c>
      <c r="AB73" s="3" t="s">
        <v>115</v>
      </c>
      <c r="AC73" s="3" t="s">
        <v>35</v>
      </c>
      <c r="AD73" s="3" t="s">
        <v>391</v>
      </c>
      <c r="AE73">
        <v>0</v>
      </c>
    </row>
    <row r="74" spans="1:33" x14ac:dyDescent="0.25">
      <c r="A74" s="3" t="s">
        <v>728</v>
      </c>
      <c r="B74">
        <v>65.72</v>
      </c>
      <c r="C74" s="3" t="s">
        <v>360</v>
      </c>
      <c r="D74" s="3" t="s">
        <v>360</v>
      </c>
      <c r="E74">
        <v>0.69</v>
      </c>
      <c r="F74">
        <v>0.72</v>
      </c>
      <c r="G74">
        <v>5</v>
      </c>
      <c r="H74" s="3" t="s">
        <v>361</v>
      </c>
      <c r="I74">
        <v>0</v>
      </c>
      <c r="J74" s="3" t="s">
        <v>729</v>
      </c>
      <c r="K74">
        <v>75</v>
      </c>
      <c r="L74">
        <v>0.2</v>
      </c>
      <c r="M74">
        <v>1.6E-2</v>
      </c>
      <c r="N74">
        <v>0.141205</v>
      </c>
      <c r="O74" s="3" t="s">
        <v>730</v>
      </c>
      <c r="P74" s="3" t="s">
        <v>105</v>
      </c>
      <c r="Q74">
        <v>52534600</v>
      </c>
      <c r="R74">
        <v>3452573952</v>
      </c>
      <c r="S74">
        <v>3452.5739520000002</v>
      </c>
      <c r="T74" s="3" t="s">
        <v>399</v>
      </c>
      <c r="U74" s="3" t="s">
        <v>731</v>
      </c>
      <c r="V74" s="3" t="s">
        <v>406</v>
      </c>
      <c r="W74" s="3" t="s">
        <v>34</v>
      </c>
      <c r="X74">
        <v>0</v>
      </c>
      <c r="Y74">
        <v>1</v>
      </c>
      <c r="Z74">
        <v>0</v>
      </c>
      <c r="AA74" s="3" t="s">
        <v>34</v>
      </c>
      <c r="AB74" s="3" t="s">
        <v>122</v>
      </c>
      <c r="AC74" s="3" t="s">
        <v>35</v>
      </c>
      <c r="AD74" s="3" t="s">
        <v>391</v>
      </c>
      <c r="AE74">
        <v>0</v>
      </c>
      <c r="AF74">
        <v>19.968015000000001</v>
      </c>
      <c r="AG74">
        <v>20</v>
      </c>
    </row>
    <row r="75" spans="1:33" x14ac:dyDescent="0.25">
      <c r="A75" s="3" t="s">
        <v>732</v>
      </c>
      <c r="B75">
        <v>71.12</v>
      </c>
      <c r="C75" s="3" t="s">
        <v>360</v>
      </c>
      <c r="D75" s="3" t="s">
        <v>360</v>
      </c>
      <c r="E75">
        <v>0.1</v>
      </c>
      <c r="F75">
        <v>0.69</v>
      </c>
      <c r="G75">
        <v>8</v>
      </c>
      <c r="H75" s="3" t="s">
        <v>529</v>
      </c>
      <c r="I75">
        <v>0</v>
      </c>
      <c r="J75" s="3" t="s">
        <v>733</v>
      </c>
      <c r="K75">
        <v>75</v>
      </c>
      <c r="L75">
        <v>3.2</v>
      </c>
      <c r="M75">
        <v>0.128</v>
      </c>
      <c r="N75">
        <v>5.4556E-2</v>
      </c>
      <c r="O75" s="3" t="s">
        <v>734</v>
      </c>
      <c r="P75" s="3" t="s">
        <v>105</v>
      </c>
      <c r="Q75">
        <v>168830000</v>
      </c>
      <c r="R75">
        <v>12034144256</v>
      </c>
      <c r="S75">
        <v>12034.144256</v>
      </c>
      <c r="T75" s="3" t="s">
        <v>399</v>
      </c>
      <c r="U75" s="3" t="s">
        <v>735</v>
      </c>
      <c r="V75" s="3" t="s">
        <v>366</v>
      </c>
      <c r="W75" s="3" t="s">
        <v>34</v>
      </c>
      <c r="X75">
        <v>0</v>
      </c>
      <c r="Y75">
        <v>1</v>
      </c>
      <c r="Z75">
        <v>0</v>
      </c>
      <c r="AA75" s="3" t="s">
        <v>34</v>
      </c>
      <c r="AB75" s="3" t="s">
        <v>390</v>
      </c>
      <c r="AC75" s="3" t="s">
        <v>35</v>
      </c>
      <c r="AD75" s="3" t="s">
        <v>391</v>
      </c>
      <c r="AE75">
        <v>0</v>
      </c>
      <c r="AF75">
        <v>19.588612000000001</v>
      </c>
      <c r="AG75">
        <v>22</v>
      </c>
    </row>
    <row r="76" spans="1:33" x14ac:dyDescent="0.25">
      <c r="A76" s="3" t="s">
        <v>736</v>
      </c>
      <c r="B76">
        <v>73.489999999999995</v>
      </c>
      <c r="C76" s="3" t="s">
        <v>360</v>
      </c>
      <c r="D76" s="3" t="s">
        <v>360</v>
      </c>
      <c r="E76">
        <v>0</v>
      </c>
      <c r="F76">
        <v>0.45</v>
      </c>
      <c r="G76">
        <v>8</v>
      </c>
      <c r="H76" s="3" t="s">
        <v>529</v>
      </c>
      <c r="I76">
        <v>0</v>
      </c>
      <c r="J76" s="3" t="s">
        <v>737</v>
      </c>
      <c r="K76">
        <v>85</v>
      </c>
      <c r="L76">
        <v>0.25</v>
      </c>
      <c r="M76">
        <v>8.8240000000000002E-3</v>
      </c>
      <c r="N76">
        <v>0.15662000000000001</v>
      </c>
      <c r="O76" s="3" t="s">
        <v>738</v>
      </c>
      <c r="P76" s="3" t="s">
        <v>105</v>
      </c>
      <c r="Q76">
        <v>169742000</v>
      </c>
      <c r="R76">
        <v>12474339328</v>
      </c>
      <c r="S76">
        <v>12474.339328</v>
      </c>
      <c r="T76" s="3" t="s">
        <v>399</v>
      </c>
      <c r="U76" s="3" t="s">
        <v>739</v>
      </c>
      <c r="V76" s="3" t="s">
        <v>366</v>
      </c>
      <c r="W76" s="3" t="s">
        <v>34</v>
      </c>
      <c r="X76">
        <v>0</v>
      </c>
      <c r="Y76">
        <v>1</v>
      </c>
      <c r="Z76">
        <v>0</v>
      </c>
      <c r="AA76" s="3" t="s">
        <v>34</v>
      </c>
      <c r="AB76" s="3" t="s">
        <v>122</v>
      </c>
      <c r="AC76" s="3" t="s">
        <v>35</v>
      </c>
      <c r="AD76" s="3" t="s">
        <v>391</v>
      </c>
      <c r="AE76">
        <v>0</v>
      </c>
      <c r="AF76">
        <v>18.330465</v>
      </c>
      <c r="AG76">
        <v>17</v>
      </c>
    </row>
    <row r="77" spans="1:33" x14ac:dyDescent="0.25">
      <c r="A77" s="3" t="s">
        <v>64</v>
      </c>
      <c r="B77">
        <v>2844.3</v>
      </c>
      <c r="C77" s="3" t="s">
        <v>360</v>
      </c>
      <c r="D77" s="3" t="s">
        <v>360</v>
      </c>
      <c r="E77">
        <v>0.85</v>
      </c>
      <c r="F77">
        <v>0.28999999999999998</v>
      </c>
      <c r="G77">
        <v>2</v>
      </c>
      <c r="H77" s="3" t="s">
        <v>415</v>
      </c>
      <c r="I77">
        <v>265</v>
      </c>
      <c r="J77" s="3" t="s">
        <v>740</v>
      </c>
      <c r="K77">
        <v>3150</v>
      </c>
      <c r="L77">
        <v>26.9</v>
      </c>
      <c r="M77">
        <v>3.4159000000000002E-2</v>
      </c>
      <c r="N77">
        <v>0.107478</v>
      </c>
      <c r="O77" s="3" t="s">
        <v>741</v>
      </c>
      <c r="P77" s="3" t="s">
        <v>105</v>
      </c>
      <c r="Q77">
        <v>301084992</v>
      </c>
      <c r="R77">
        <v>1900387762176</v>
      </c>
      <c r="S77">
        <v>1900387.762176</v>
      </c>
      <c r="T77" s="3" t="s">
        <v>382</v>
      </c>
      <c r="U77" s="3" t="s">
        <v>742</v>
      </c>
      <c r="V77" s="3" t="s">
        <v>366</v>
      </c>
      <c r="W77" s="3" t="s">
        <v>743</v>
      </c>
      <c r="X77">
        <v>753739.51</v>
      </c>
      <c r="Y77">
        <v>1</v>
      </c>
      <c r="Z77">
        <v>0</v>
      </c>
      <c r="AA77" s="3" t="s">
        <v>34</v>
      </c>
      <c r="AB77" s="3" t="s">
        <v>115</v>
      </c>
      <c r="AC77" s="3" t="s">
        <v>744</v>
      </c>
      <c r="AD77" s="3" t="s">
        <v>745</v>
      </c>
      <c r="AE77">
        <v>0</v>
      </c>
      <c r="AF77">
        <v>19.278227999999999</v>
      </c>
      <c r="AG77">
        <v>44</v>
      </c>
    </row>
    <row r="78" spans="1:33" x14ac:dyDescent="0.25">
      <c r="A78" s="3" t="s">
        <v>746</v>
      </c>
      <c r="B78">
        <v>21.97</v>
      </c>
      <c r="C78" s="3" t="s">
        <v>360</v>
      </c>
      <c r="D78" s="3" t="s">
        <v>360</v>
      </c>
      <c r="E78">
        <v>0.84</v>
      </c>
      <c r="F78">
        <v>0.23</v>
      </c>
      <c r="G78">
        <v>1</v>
      </c>
      <c r="H78" s="3" t="s">
        <v>402</v>
      </c>
      <c r="I78">
        <v>0</v>
      </c>
      <c r="J78" s="3" t="s">
        <v>34</v>
      </c>
      <c r="O78" s="3" t="s">
        <v>747</v>
      </c>
      <c r="P78" s="3" t="s">
        <v>403</v>
      </c>
      <c r="Q78">
        <v>426129984</v>
      </c>
      <c r="R78">
        <v>12788032512</v>
      </c>
      <c r="S78">
        <v>14984.804912</v>
      </c>
      <c r="T78" s="3" t="s">
        <v>434</v>
      </c>
      <c r="U78" s="3" t="s">
        <v>748</v>
      </c>
      <c r="V78" s="3" t="s">
        <v>366</v>
      </c>
      <c r="W78" s="3" t="s">
        <v>34</v>
      </c>
      <c r="X78">
        <v>0</v>
      </c>
      <c r="Y78">
        <v>0.85340000000000005</v>
      </c>
      <c r="Z78">
        <v>0</v>
      </c>
      <c r="AA78" s="3" t="s">
        <v>34</v>
      </c>
      <c r="AB78" s="3" t="s">
        <v>34</v>
      </c>
      <c r="AC78" s="3" t="s">
        <v>35</v>
      </c>
      <c r="AD78" s="3" t="s">
        <v>391</v>
      </c>
      <c r="AE78">
        <v>0</v>
      </c>
    </row>
    <row r="79" spans="1:33" x14ac:dyDescent="0.25">
      <c r="A79" s="3" t="s">
        <v>69</v>
      </c>
      <c r="B79">
        <v>172.62</v>
      </c>
      <c r="C79" s="3" t="s">
        <v>360</v>
      </c>
      <c r="D79" s="3" t="s">
        <v>360</v>
      </c>
      <c r="E79">
        <v>0.83</v>
      </c>
      <c r="F79">
        <v>0.65</v>
      </c>
      <c r="G79">
        <v>2</v>
      </c>
      <c r="H79" s="3" t="s">
        <v>415</v>
      </c>
      <c r="I79">
        <v>59</v>
      </c>
      <c r="J79" s="3" t="s">
        <v>749</v>
      </c>
      <c r="K79">
        <v>175</v>
      </c>
      <c r="L79">
        <v>7.6</v>
      </c>
      <c r="M79">
        <v>0.13028600000000001</v>
      </c>
      <c r="N79">
        <v>1.3788E-2</v>
      </c>
      <c r="O79" s="3" t="s">
        <v>750</v>
      </c>
      <c r="P79" s="3" t="s">
        <v>105</v>
      </c>
      <c r="Q79">
        <v>192322000</v>
      </c>
      <c r="R79">
        <v>33198622720</v>
      </c>
      <c r="S79">
        <v>33198.622719999999</v>
      </c>
      <c r="T79" s="3" t="s">
        <v>382</v>
      </c>
      <c r="U79" s="3" t="s">
        <v>751</v>
      </c>
      <c r="V79" s="3" t="s">
        <v>366</v>
      </c>
      <c r="W79" s="3" t="s">
        <v>752</v>
      </c>
      <c r="X79">
        <v>10184.58</v>
      </c>
      <c r="Y79">
        <v>1</v>
      </c>
      <c r="Z79">
        <v>0</v>
      </c>
      <c r="AA79" s="3" t="s">
        <v>34</v>
      </c>
      <c r="AB79" s="3" t="s">
        <v>390</v>
      </c>
      <c r="AC79" s="3" t="s">
        <v>35</v>
      </c>
      <c r="AD79" s="3" t="s">
        <v>391</v>
      </c>
      <c r="AE79">
        <v>0</v>
      </c>
      <c r="AF79">
        <v>17.817658999999999</v>
      </c>
      <c r="AG79">
        <v>20</v>
      </c>
    </row>
    <row r="80" spans="1:33" x14ac:dyDescent="0.25">
      <c r="A80" s="3" t="s">
        <v>753</v>
      </c>
      <c r="B80">
        <v>90.32</v>
      </c>
      <c r="C80" s="3" t="s">
        <v>360</v>
      </c>
      <c r="D80" s="3" t="s">
        <v>360</v>
      </c>
      <c r="E80">
        <v>0.11</v>
      </c>
      <c r="F80">
        <v>0.72</v>
      </c>
      <c r="G80">
        <v>8</v>
      </c>
      <c r="H80" s="3" t="s">
        <v>529</v>
      </c>
      <c r="I80">
        <v>6738</v>
      </c>
      <c r="J80" s="3" t="s">
        <v>34</v>
      </c>
      <c r="O80" s="3" t="s">
        <v>754</v>
      </c>
      <c r="P80" s="3" t="s">
        <v>403</v>
      </c>
      <c r="Q80">
        <v>575740032</v>
      </c>
      <c r="R80">
        <v>52000837632</v>
      </c>
      <c r="S80">
        <v>60933.721152999999</v>
      </c>
      <c r="T80" s="3" t="s">
        <v>38</v>
      </c>
      <c r="U80" s="3" t="s">
        <v>755</v>
      </c>
      <c r="V80" s="3" t="s">
        <v>366</v>
      </c>
      <c r="W80" s="3" t="s">
        <v>756</v>
      </c>
      <c r="X80">
        <v>713119.48</v>
      </c>
      <c r="Y80">
        <v>0.85340000000000005</v>
      </c>
      <c r="Z80">
        <v>0</v>
      </c>
      <c r="AA80" s="3" t="s">
        <v>34</v>
      </c>
      <c r="AB80" s="3" t="s">
        <v>34</v>
      </c>
      <c r="AC80" s="3" t="s">
        <v>757</v>
      </c>
      <c r="AD80" s="3" t="s">
        <v>758</v>
      </c>
      <c r="AE80">
        <v>0</v>
      </c>
    </row>
    <row r="81" spans="1:33" x14ac:dyDescent="0.25">
      <c r="A81" s="3" t="s">
        <v>759</v>
      </c>
      <c r="B81">
        <v>87.92</v>
      </c>
      <c r="C81" s="3" t="s">
        <v>360</v>
      </c>
      <c r="D81" s="3" t="s">
        <v>360</v>
      </c>
      <c r="E81">
        <v>0.25</v>
      </c>
      <c r="F81">
        <v>0.01</v>
      </c>
      <c r="G81">
        <v>7</v>
      </c>
      <c r="H81" s="3" t="s">
        <v>454</v>
      </c>
      <c r="I81">
        <v>0</v>
      </c>
      <c r="J81" s="3" t="s">
        <v>760</v>
      </c>
      <c r="K81">
        <v>110</v>
      </c>
      <c r="L81">
        <v>0.5</v>
      </c>
      <c r="M81">
        <v>9.0910000000000001E-3</v>
      </c>
      <c r="N81">
        <v>0.251137</v>
      </c>
      <c r="O81" s="3" t="s">
        <v>761</v>
      </c>
      <c r="P81" s="3" t="s">
        <v>105</v>
      </c>
      <c r="Q81">
        <v>55126300</v>
      </c>
      <c r="R81">
        <v>4846704128</v>
      </c>
      <c r="S81">
        <v>4846.7041280000003</v>
      </c>
      <c r="T81" s="3" t="s">
        <v>399</v>
      </c>
      <c r="U81" s="3" t="s">
        <v>762</v>
      </c>
      <c r="V81" s="3" t="s">
        <v>406</v>
      </c>
      <c r="W81" s="3" t="s">
        <v>34</v>
      </c>
      <c r="X81">
        <v>0</v>
      </c>
      <c r="Y81">
        <v>1</v>
      </c>
      <c r="Z81">
        <v>0</v>
      </c>
      <c r="AA81" s="3" t="s">
        <v>34</v>
      </c>
      <c r="AB81" s="3" t="s">
        <v>390</v>
      </c>
      <c r="AC81" s="3" t="s">
        <v>35</v>
      </c>
      <c r="AD81" s="3" t="s">
        <v>391</v>
      </c>
      <c r="AE81">
        <v>0</v>
      </c>
      <c r="AF81">
        <v>18.407868000000001</v>
      </c>
      <c r="AG81">
        <v>22</v>
      </c>
    </row>
    <row r="82" spans="1:33" x14ac:dyDescent="0.25">
      <c r="A82" s="3" t="s">
        <v>763</v>
      </c>
      <c r="B82">
        <v>219.19</v>
      </c>
      <c r="C82" s="3" t="s">
        <v>360</v>
      </c>
      <c r="D82" s="3" t="s">
        <v>360</v>
      </c>
      <c r="E82">
        <v>0.23</v>
      </c>
      <c r="F82">
        <v>0.44</v>
      </c>
      <c r="G82">
        <v>8</v>
      </c>
      <c r="H82" s="3" t="s">
        <v>529</v>
      </c>
      <c r="I82">
        <v>0</v>
      </c>
      <c r="J82" s="3" t="s">
        <v>764</v>
      </c>
      <c r="K82">
        <v>240</v>
      </c>
      <c r="L82">
        <v>1.64</v>
      </c>
      <c r="M82">
        <v>2.7333E-2</v>
      </c>
      <c r="N82">
        <v>9.4939999999999997E-2</v>
      </c>
      <c r="O82" s="3" t="s">
        <v>765</v>
      </c>
      <c r="P82" s="3" t="s">
        <v>105</v>
      </c>
      <c r="Q82">
        <v>690398976</v>
      </c>
      <c r="R82">
        <v>151328555008</v>
      </c>
      <c r="S82">
        <v>151328.555008</v>
      </c>
      <c r="T82" s="3" t="s">
        <v>382</v>
      </c>
      <c r="U82" s="3" t="s">
        <v>766</v>
      </c>
      <c r="V82" s="3" t="s">
        <v>366</v>
      </c>
      <c r="W82" s="3" t="s">
        <v>34</v>
      </c>
      <c r="X82">
        <v>0</v>
      </c>
      <c r="Y82">
        <v>1</v>
      </c>
      <c r="Z82">
        <v>0</v>
      </c>
      <c r="AA82" s="3" t="s">
        <v>34</v>
      </c>
      <c r="AB82" s="3" t="s">
        <v>115</v>
      </c>
      <c r="AC82" s="3" t="s">
        <v>35</v>
      </c>
      <c r="AD82" s="3" t="s">
        <v>391</v>
      </c>
      <c r="AE82">
        <v>0</v>
      </c>
      <c r="AF82">
        <v>13.12909</v>
      </c>
      <c r="AG82">
        <v>7</v>
      </c>
    </row>
    <row r="83" spans="1:33" x14ac:dyDescent="0.25">
      <c r="A83" s="3" t="s">
        <v>767</v>
      </c>
      <c r="B83">
        <v>8.34</v>
      </c>
      <c r="C83" s="3" t="s">
        <v>360</v>
      </c>
      <c r="D83" s="3" t="s">
        <v>360</v>
      </c>
      <c r="E83">
        <v>0</v>
      </c>
      <c r="F83">
        <v>0.46</v>
      </c>
      <c r="G83">
        <v>8</v>
      </c>
      <c r="H83" s="3" t="s">
        <v>529</v>
      </c>
      <c r="I83">
        <v>0</v>
      </c>
      <c r="J83" s="3" t="s">
        <v>768</v>
      </c>
      <c r="K83">
        <v>14</v>
      </c>
      <c r="L83">
        <v>0.15</v>
      </c>
      <c r="M83">
        <v>3.2142999999999998E-2</v>
      </c>
      <c r="N83">
        <v>0.67865699999999995</v>
      </c>
      <c r="O83" s="3" t="s">
        <v>769</v>
      </c>
      <c r="P83" s="3" t="s">
        <v>105</v>
      </c>
      <c r="Q83">
        <v>237100000</v>
      </c>
      <c r="R83">
        <v>1977414016</v>
      </c>
      <c r="S83">
        <v>1977.4140159999999</v>
      </c>
      <c r="T83" s="3" t="s">
        <v>399</v>
      </c>
      <c r="U83" s="3" t="s">
        <v>770</v>
      </c>
      <c r="V83" s="3" t="s">
        <v>443</v>
      </c>
      <c r="W83" s="3" t="s">
        <v>34</v>
      </c>
      <c r="X83">
        <v>0</v>
      </c>
      <c r="Y83">
        <v>1</v>
      </c>
      <c r="Z83">
        <v>0</v>
      </c>
      <c r="AA83" s="3" t="s">
        <v>34</v>
      </c>
      <c r="AB83" s="3" t="s">
        <v>390</v>
      </c>
      <c r="AC83" s="3" t="s">
        <v>35</v>
      </c>
      <c r="AD83" s="3" t="s">
        <v>391</v>
      </c>
      <c r="AE83">
        <v>0</v>
      </c>
    </row>
    <row r="84" spans="1:33" x14ac:dyDescent="0.25">
      <c r="A84" s="3" t="s">
        <v>771</v>
      </c>
      <c r="B84">
        <v>432.82</v>
      </c>
      <c r="C84" s="3" t="s">
        <v>360</v>
      </c>
      <c r="D84" s="3" t="s">
        <v>360</v>
      </c>
      <c r="E84">
        <v>0</v>
      </c>
      <c r="F84">
        <v>0.39</v>
      </c>
      <c r="G84">
        <v>8</v>
      </c>
      <c r="H84" s="3" t="s">
        <v>529</v>
      </c>
      <c r="I84">
        <v>0</v>
      </c>
      <c r="J84" s="3" t="s">
        <v>772</v>
      </c>
      <c r="K84">
        <v>560</v>
      </c>
      <c r="L84">
        <v>6.51</v>
      </c>
      <c r="M84">
        <v>3.4875000000000003E-2</v>
      </c>
      <c r="N84">
        <v>0.29383999999999999</v>
      </c>
      <c r="O84" s="3" t="s">
        <v>773</v>
      </c>
      <c r="P84" s="3" t="s">
        <v>105</v>
      </c>
      <c r="Q84">
        <v>156500000</v>
      </c>
      <c r="R84">
        <v>67736330240</v>
      </c>
      <c r="S84">
        <v>67736.330239999996</v>
      </c>
      <c r="T84" s="3" t="s">
        <v>382</v>
      </c>
      <c r="U84" s="3" t="s">
        <v>774</v>
      </c>
      <c r="V84" s="3" t="s">
        <v>366</v>
      </c>
      <c r="W84" s="3" t="s">
        <v>34</v>
      </c>
      <c r="X84">
        <v>0</v>
      </c>
      <c r="Y84">
        <v>1</v>
      </c>
      <c r="Z84">
        <v>0</v>
      </c>
      <c r="AA84" s="3" t="s">
        <v>34</v>
      </c>
      <c r="AB84" s="3" t="s">
        <v>115</v>
      </c>
      <c r="AC84" s="3" t="s">
        <v>35</v>
      </c>
      <c r="AD84" s="3" t="s">
        <v>391</v>
      </c>
      <c r="AE84">
        <v>0</v>
      </c>
      <c r="AF84">
        <v>19.457847999999998</v>
      </c>
      <c r="AG84">
        <v>22</v>
      </c>
    </row>
    <row r="85" spans="1:33" x14ac:dyDescent="0.25">
      <c r="A85" s="3" t="s">
        <v>775</v>
      </c>
      <c r="B85">
        <v>124.57</v>
      </c>
      <c r="C85" s="3" t="s">
        <v>360</v>
      </c>
      <c r="D85" s="3" t="s">
        <v>360</v>
      </c>
      <c r="E85">
        <v>1</v>
      </c>
      <c r="F85">
        <v>0.15</v>
      </c>
      <c r="G85">
        <v>1</v>
      </c>
      <c r="H85" s="3" t="s">
        <v>402</v>
      </c>
      <c r="I85">
        <v>0</v>
      </c>
      <c r="J85" s="3" t="s">
        <v>776</v>
      </c>
      <c r="K85">
        <v>135</v>
      </c>
      <c r="L85">
        <v>1.75</v>
      </c>
      <c r="M85">
        <v>3.8889E-2</v>
      </c>
      <c r="N85">
        <v>8.3727999999999997E-2</v>
      </c>
      <c r="O85" s="3" t="s">
        <v>777</v>
      </c>
      <c r="P85" s="3" t="s">
        <v>105</v>
      </c>
      <c r="Q85">
        <v>398612000</v>
      </c>
      <c r="R85">
        <v>49655095296</v>
      </c>
      <c r="S85">
        <v>49655.095296</v>
      </c>
      <c r="T85" s="3" t="s">
        <v>399</v>
      </c>
      <c r="U85" s="3" t="s">
        <v>778</v>
      </c>
      <c r="V85" s="3" t="s">
        <v>366</v>
      </c>
      <c r="W85" s="3" t="s">
        <v>34</v>
      </c>
      <c r="X85">
        <v>0</v>
      </c>
      <c r="Y85">
        <v>1</v>
      </c>
      <c r="Z85">
        <v>0</v>
      </c>
      <c r="AA85" s="3" t="s">
        <v>34</v>
      </c>
      <c r="AB85" s="3" t="s">
        <v>390</v>
      </c>
      <c r="AC85" s="3" t="s">
        <v>35</v>
      </c>
      <c r="AD85" s="3" t="s">
        <v>391</v>
      </c>
      <c r="AE85">
        <v>0</v>
      </c>
      <c r="AF85">
        <v>19.553668999999999</v>
      </c>
      <c r="AG85">
        <v>18</v>
      </c>
    </row>
    <row r="86" spans="1:33" x14ac:dyDescent="0.25">
      <c r="A86" s="3" t="s">
        <v>779</v>
      </c>
      <c r="B86">
        <v>577.91999999999996</v>
      </c>
      <c r="C86" s="3" t="s">
        <v>360</v>
      </c>
      <c r="D86" s="3" t="s">
        <v>360</v>
      </c>
      <c r="E86">
        <v>1</v>
      </c>
      <c r="F86">
        <v>0</v>
      </c>
      <c r="G86">
        <v>1</v>
      </c>
      <c r="H86" s="3" t="s">
        <v>402</v>
      </c>
      <c r="I86">
        <v>0</v>
      </c>
      <c r="J86" s="3" t="s">
        <v>780</v>
      </c>
      <c r="K86">
        <v>640</v>
      </c>
      <c r="L86">
        <v>6.4</v>
      </c>
      <c r="M86">
        <v>0.04</v>
      </c>
      <c r="N86">
        <v>0.10742</v>
      </c>
      <c r="O86" s="3" t="s">
        <v>781</v>
      </c>
      <c r="P86" s="3" t="s">
        <v>105</v>
      </c>
      <c r="Q86">
        <v>273092000</v>
      </c>
      <c r="R86">
        <v>157825318912</v>
      </c>
      <c r="S86">
        <v>157825.31891199999</v>
      </c>
      <c r="T86" s="3" t="s">
        <v>382</v>
      </c>
      <c r="U86" s="3" t="s">
        <v>782</v>
      </c>
      <c r="V86" s="3" t="s">
        <v>366</v>
      </c>
      <c r="W86" s="3" t="s">
        <v>34</v>
      </c>
      <c r="X86">
        <v>0</v>
      </c>
      <c r="Y86">
        <v>1</v>
      </c>
      <c r="Z86">
        <v>0</v>
      </c>
      <c r="AA86" s="3" t="s">
        <v>34</v>
      </c>
      <c r="AB86" s="3" t="s">
        <v>115</v>
      </c>
      <c r="AC86" s="3" t="s">
        <v>35</v>
      </c>
      <c r="AD86" s="3" t="s">
        <v>391</v>
      </c>
      <c r="AE86">
        <v>0</v>
      </c>
      <c r="AF86">
        <v>15.086836</v>
      </c>
      <c r="AG86">
        <v>23</v>
      </c>
    </row>
    <row r="87" spans="1:33" x14ac:dyDescent="0.25">
      <c r="A87" s="3" t="s">
        <v>783</v>
      </c>
      <c r="B87">
        <v>164.27</v>
      </c>
      <c r="C87" s="3" t="s">
        <v>360</v>
      </c>
      <c r="D87" s="3" t="s">
        <v>360</v>
      </c>
      <c r="E87">
        <v>0.08</v>
      </c>
      <c r="F87">
        <v>0.91</v>
      </c>
      <c r="G87">
        <v>9</v>
      </c>
      <c r="H87" s="3" t="s">
        <v>428</v>
      </c>
      <c r="I87">
        <v>0</v>
      </c>
      <c r="J87" s="3" t="s">
        <v>784</v>
      </c>
      <c r="K87">
        <v>170</v>
      </c>
      <c r="L87">
        <v>10.8</v>
      </c>
      <c r="M87">
        <v>0.19058800000000001</v>
      </c>
      <c r="N87">
        <v>3.4882000000000003E-2</v>
      </c>
      <c r="O87" s="3" t="s">
        <v>785</v>
      </c>
      <c r="P87" s="3" t="s">
        <v>105</v>
      </c>
      <c r="Q87">
        <v>53497000</v>
      </c>
      <c r="R87">
        <v>8787952640</v>
      </c>
      <c r="S87">
        <v>8787.9526399999995</v>
      </c>
      <c r="T87" s="3" t="s">
        <v>382</v>
      </c>
      <c r="U87" s="3" t="s">
        <v>786</v>
      </c>
      <c r="V87" s="3" t="s">
        <v>406</v>
      </c>
      <c r="W87" s="3" t="s">
        <v>34</v>
      </c>
      <c r="X87">
        <v>0</v>
      </c>
      <c r="Y87">
        <v>1</v>
      </c>
      <c r="Z87">
        <v>0</v>
      </c>
      <c r="AA87" s="3" t="s">
        <v>34</v>
      </c>
      <c r="AB87" s="3" t="s">
        <v>390</v>
      </c>
      <c r="AC87" s="3" t="s">
        <v>35</v>
      </c>
      <c r="AD87" s="3" t="s">
        <v>391</v>
      </c>
      <c r="AE87">
        <v>0</v>
      </c>
      <c r="AF87">
        <v>17.267661</v>
      </c>
      <c r="AG87">
        <v>18</v>
      </c>
    </row>
    <row r="88" spans="1:33" x14ac:dyDescent="0.25">
      <c r="A88" s="3" t="s">
        <v>787</v>
      </c>
      <c r="B88">
        <v>1043.33</v>
      </c>
      <c r="C88" s="3" t="s">
        <v>360</v>
      </c>
      <c r="D88" s="3" t="s">
        <v>360</v>
      </c>
      <c r="E88">
        <v>0.74</v>
      </c>
      <c r="F88">
        <v>0</v>
      </c>
      <c r="G88">
        <v>4</v>
      </c>
      <c r="H88" s="3" t="s">
        <v>379</v>
      </c>
      <c r="I88">
        <v>0</v>
      </c>
      <c r="J88" s="3" t="s">
        <v>788</v>
      </c>
      <c r="K88">
        <v>1200</v>
      </c>
      <c r="L88">
        <v>20.7</v>
      </c>
      <c r="M88">
        <v>5.1749999999999997E-2</v>
      </c>
      <c r="N88">
        <v>0.15016299999999999</v>
      </c>
      <c r="O88" s="3" t="s">
        <v>789</v>
      </c>
      <c r="P88" s="3" t="s">
        <v>105</v>
      </c>
      <c r="Q88">
        <v>118991000</v>
      </c>
      <c r="R88">
        <v>124146876416</v>
      </c>
      <c r="S88">
        <v>124146.876416</v>
      </c>
      <c r="T88" s="3" t="s">
        <v>382</v>
      </c>
      <c r="U88" s="3" t="s">
        <v>790</v>
      </c>
      <c r="V88" s="3" t="s">
        <v>366</v>
      </c>
      <c r="W88" s="3" t="s">
        <v>34</v>
      </c>
      <c r="X88">
        <v>0</v>
      </c>
      <c r="Y88">
        <v>1</v>
      </c>
      <c r="Z88">
        <v>0</v>
      </c>
      <c r="AA88" s="3" t="s">
        <v>34</v>
      </c>
      <c r="AB88" s="3" t="s">
        <v>390</v>
      </c>
      <c r="AC88" s="3" t="s">
        <v>35</v>
      </c>
      <c r="AD88" s="3" t="s">
        <v>391</v>
      </c>
      <c r="AE88">
        <v>0</v>
      </c>
      <c r="AF88">
        <v>19.608598000000001</v>
      </c>
      <c r="AG88">
        <v>24</v>
      </c>
    </row>
    <row r="89" spans="1:33" x14ac:dyDescent="0.25">
      <c r="A89" s="3" t="s">
        <v>791</v>
      </c>
      <c r="B89">
        <v>324.69</v>
      </c>
      <c r="C89" s="3" t="s">
        <v>360</v>
      </c>
      <c r="D89" s="3" t="s">
        <v>360</v>
      </c>
      <c r="E89">
        <v>1</v>
      </c>
      <c r="F89">
        <v>0.78</v>
      </c>
      <c r="G89">
        <v>3</v>
      </c>
      <c r="H89" s="3" t="s">
        <v>371</v>
      </c>
      <c r="I89">
        <v>0</v>
      </c>
      <c r="J89" s="3" t="s">
        <v>792</v>
      </c>
      <c r="K89">
        <v>420</v>
      </c>
      <c r="L89">
        <v>1.25</v>
      </c>
      <c r="M89">
        <v>1.1905000000000001E-2</v>
      </c>
      <c r="N89">
        <v>0.29354200000000003</v>
      </c>
      <c r="O89" s="3" t="s">
        <v>793</v>
      </c>
      <c r="P89" s="3" t="s">
        <v>105</v>
      </c>
      <c r="Q89">
        <v>83648800</v>
      </c>
      <c r="R89">
        <v>27159928832</v>
      </c>
      <c r="S89">
        <v>27159.928832000001</v>
      </c>
      <c r="T89" s="3" t="s">
        <v>399</v>
      </c>
      <c r="U89" s="3" t="s">
        <v>794</v>
      </c>
      <c r="V89" s="3" t="s">
        <v>366</v>
      </c>
      <c r="W89" s="3" t="s">
        <v>34</v>
      </c>
      <c r="X89">
        <v>0</v>
      </c>
      <c r="Y89">
        <v>1</v>
      </c>
      <c r="Z89">
        <v>0</v>
      </c>
      <c r="AA89" s="3" t="s">
        <v>34</v>
      </c>
      <c r="AB89" s="3" t="s">
        <v>115</v>
      </c>
      <c r="AC89" s="3" t="s">
        <v>35</v>
      </c>
      <c r="AD89" s="3" t="s">
        <v>391</v>
      </c>
      <c r="AE89">
        <v>0</v>
      </c>
      <c r="AF89">
        <v>17.069904999999999</v>
      </c>
      <c r="AG89">
        <v>20</v>
      </c>
    </row>
    <row r="90" spans="1:33" x14ac:dyDescent="0.25">
      <c r="A90" s="3" t="s">
        <v>795</v>
      </c>
      <c r="B90">
        <v>215.94</v>
      </c>
      <c r="C90" s="3" t="s">
        <v>360</v>
      </c>
      <c r="D90" s="3" t="s">
        <v>360</v>
      </c>
      <c r="E90">
        <v>0.1</v>
      </c>
      <c r="F90">
        <v>1</v>
      </c>
      <c r="G90">
        <v>9</v>
      </c>
      <c r="H90" s="3" t="s">
        <v>428</v>
      </c>
      <c r="I90">
        <v>0</v>
      </c>
      <c r="J90" s="3" t="s">
        <v>796</v>
      </c>
      <c r="K90">
        <v>230</v>
      </c>
      <c r="L90">
        <v>2.5</v>
      </c>
      <c r="M90">
        <v>4.3478000000000003E-2</v>
      </c>
      <c r="N90">
        <v>6.5111000000000002E-2</v>
      </c>
      <c r="O90" s="3" t="s">
        <v>797</v>
      </c>
      <c r="P90" s="3" t="s">
        <v>105</v>
      </c>
      <c r="Q90">
        <v>314968000</v>
      </c>
      <c r="R90">
        <v>68014190592</v>
      </c>
      <c r="S90">
        <v>68014.190591999999</v>
      </c>
      <c r="T90" s="3" t="s">
        <v>399</v>
      </c>
      <c r="U90" s="3" t="s">
        <v>798</v>
      </c>
      <c r="V90" s="3" t="s">
        <v>366</v>
      </c>
      <c r="W90" s="3" t="s">
        <v>34</v>
      </c>
      <c r="X90">
        <v>0</v>
      </c>
      <c r="Y90">
        <v>1</v>
      </c>
      <c r="Z90">
        <v>0</v>
      </c>
      <c r="AA90" s="3" t="s">
        <v>34</v>
      </c>
      <c r="AB90" s="3" t="s">
        <v>115</v>
      </c>
      <c r="AC90" s="3" t="s">
        <v>35</v>
      </c>
      <c r="AD90" s="3" t="s">
        <v>391</v>
      </c>
      <c r="AE90">
        <v>0</v>
      </c>
      <c r="AF90">
        <v>19.717855</v>
      </c>
      <c r="AG90">
        <v>26</v>
      </c>
    </row>
    <row r="91" spans="1:33" x14ac:dyDescent="0.25">
      <c r="A91" s="3" t="s">
        <v>54</v>
      </c>
      <c r="B91">
        <v>171.38</v>
      </c>
      <c r="C91" s="3" t="s">
        <v>360</v>
      </c>
      <c r="D91" s="3" t="s">
        <v>360</v>
      </c>
      <c r="E91">
        <v>0.39</v>
      </c>
      <c r="F91">
        <v>0</v>
      </c>
      <c r="G91">
        <v>4</v>
      </c>
      <c r="H91" s="3" t="s">
        <v>379</v>
      </c>
      <c r="I91">
        <v>4841</v>
      </c>
      <c r="J91" s="3" t="s">
        <v>799</v>
      </c>
      <c r="K91">
        <v>180</v>
      </c>
      <c r="L91">
        <v>3.5</v>
      </c>
      <c r="M91">
        <v>5.8333000000000003E-2</v>
      </c>
      <c r="N91">
        <v>5.0298000000000002E-2</v>
      </c>
      <c r="O91" s="3" t="s">
        <v>800</v>
      </c>
      <c r="P91" s="3" t="s">
        <v>105</v>
      </c>
      <c r="Q91">
        <v>74014000</v>
      </c>
      <c r="R91">
        <v>12684519424</v>
      </c>
      <c r="S91">
        <v>12684.519424</v>
      </c>
      <c r="T91" s="3" t="s">
        <v>382</v>
      </c>
      <c r="U91" s="3" t="s">
        <v>801</v>
      </c>
      <c r="V91" s="3" t="s">
        <v>366</v>
      </c>
      <c r="W91" s="3" t="s">
        <v>802</v>
      </c>
      <c r="X91">
        <v>829650.6</v>
      </c>
      <c r="Y91">
        <v>1</v>
      </c>
      <c r="Z91">
        <v>-4800</v>
      </c>
      <c r="AA91" s="3" t="s">
        <v>803</v>
      </c>
      <c r="AB91" s="3" t="s">
        <v>115</v>
      </c>
      <c r="AC91" s="3" t="s">
        <v>804</v>
      </c>
      <c r="AD91" s="3" t="s">
        <v>805</v>
      </c>
      <c r="AE91">
        <v>-2300</v>
      </c>
      <c r="AF91">
        <v>17.947711999999999</v>
      </c>
      <c r="AG91">
        <v>20</v>
      </c>
    </row>
    <row r="92" spans="1:33" x14ac:dyDescent="0.25">
      <c r="A92" s="3" t="s">
        <v>806</v>
      </c>
      <c r="B92">
        <v>164.36</v>
      </c>
      <c r="C92" s="3" t="s">
        <v>360</v>
      </c>
      <c r="D92" s="3" t="s">
        <v>360</v>
      </c>
      <c r="E92">
        <v>0.04</v>
      </c>
      <c r="F92">
        <v>0.75</v>
      </c>
      <c r="G92">
        <v>8</v>
      </c>
      <c r="H92" s="3" t="s">
        <v>529</v>
      </c>
      <c r="I92">
        <v>0</v>
      </c>
      <c r="J92" s="3" t="s">
        <v>807</v>
      </c>
      <c r="K92">
        <v>175</v>
      </c>
      <c r="L92">
        <v>1.44</v>
      </c>
      <c r="M92">
        <v>3.2913999999999999E-2</v>
      </c>
      <c r="N92">
        <v>6.4736000000000002E-2</v>
      </c>
      <c r="O92" s="3" t="s">
        <v>808</v>
      </c>
      <c r="P92" s="3" t="s">
        <v>105</v>
      </c>
      <c r="Q92">
        <v>2147483647</v>
      </c>
      <c r="R92">
        <v>432674406400</v>
      </c>
      <c r="S92">
        <v>432674.40639999998</v>
      </c>
      <c r="T92" s="3" t="s">
        <v>399</v>
      </c>
      <c r="U92" s="3" t="s">
        <v>809</v>
      </c>
      <c r="V92" s="3" t="s">
        <v>366</v>
      </c>
      <c r="W92" s="3" t="s">
        <v>34</v>
      </c>
      <c r="X92">
        <v>0</v>
      </c>
      <c r="Y92">
        <v>1</v>
      </c>
      <c r="Z92">
        <v>0</v>
      </c>
      <c r="AA92" s="3" t="s">
        <v>34</v>
      </c>
      <c r="AB92" s="3" t="s">
        <v>115</v>
      </c>
      <c r="AC92" s="3" t="s">
        <v>35</v>
      </c>
      <c r="AD92" s="3" t="s">
        <v>391</v>
      </c>
      <c r="AE92">
        <v>0</v>
      </c>
      <c r="AF92">
        <v>18.261151999999999</v>
      </c>
      <c r="AG92">
        <v>43</v>
      </c>
    </row>
    <row r="93" spans="1:33" x14ac:dyDescent="0.25">
      <c r="A93" s="3" t="s">
        <v>810</v>
      </c>
      <c r="B93">
        <v>57.59</v>
      </c>
      <c r="C93" s="3" t="s">
        <v>360</v>
      </c>
      <c r="D93" s="3" t="s">
        <v>360</v>
      </c>
      <c r="E93">
        <v>0.8</v>
      </c>
      <c r="F93">
        <v>0.12</v>
      </c>
      <c r="G93">
        <v>1</v>
      </c>
      <c r="H93" s="3" t="s">
        <v>402</v>
      </c>
      <c r="I93">
        <v>0</v>
      </c>
      <c r="J93" s="3" t="s">
        <v>811</v>
      </c>
      <c r="K93">
        <v>60</v>
      </c>
      <c r="L93">
        <v>0.65</v>
      </c>
      <c r="M93">
        <v>6.5000000000000002E-2</v>
      </c>
      <c r="N93">
        <v>4.1848000000000003E-2</v>
      </c>
      <c r="O93" s="3" t="s">
        <v>812</v>
      </c>
      <c r="P93" s="3" t="s">
        <v>105</v>
      </c>
      <c r="Q93">
        <v>210083008</v>
      </c>
      <c r="R93">
        <v>12098680832</v>
      </c>
      <c r="S93">
        <v>12098.680832</v>
      </c>
      <c r="T93" s="3" t="s">
        <v>399</v>
      </c>
      <c r="U93" s="3" t="s">
        <v>813</v>
      </c>
      <c r="V93" s="3" t="s">
        <v>366</v>
      </c>
      <c r="W93" s="3" t="s">
        <v>34</v>
      </c>
      <c r="X93">
        <v>0</v>
      </c>
      <c r="Y93">
        <v>1</v>
      </c>
      <c r="Z93">
        <v>0</v>
      </c>
      <c r="AA93" s="3" t="s">
        <v>34</v>
      </c>
      <c r="AB93" s="3" t="s">
        <v>122</v>
      </c>
      <c r="AC93" s="3" t="s">
        <v>35</v>
      </c>
      <c r="AD93" s="3" t="s">
        <v>391</v>
      </c>
      <c r="AE93">
        <v>0</v>
      </c>
      <c r="AF93">
        <v>15.955476000000001</v>
      </c>
      <c r="AG93">
        <v>20</v>
      </c>
    </row>
    <row r="94" spans="1:33" x14ac:dyDescent="0.25">
      <c r="A94" s="3" t="s">
        <v>814</v>
      </c>
      <c r="B94">
        <v>87.4</v>
      </c>
      <c r="C94" s="3" t="s">
        <v>360</v>
      </c>
      <c r="D94" s="3" t="s">
        <v>360</v>
      </c>
      <c r="E94">
        <v>0.81</v>
      </c>
      <c r="F94">
        <v>0.25</v>
      </c>
      <c r="G94">
        <v>1</v>
      </c>
      <c r="H94" s="3" t="s">
        <v>402</v>
      </c>
      <c r="I94">
        <v>1081</v>
      </c>
      <c r="J94" s="3" t="s">
        <v>34</v>
      </c>
      <c r="O94" s="3" t="s">
        <v>299</v>
      </c>
      <c r="P94" s="3" t="s">
        <v>403</v>
      </c>
      <c r="Q94">
        <v>31593100</v>
      </c>
      <c r="R94">
        <v>2761236992</v>
      </c>
      <c r="S94">
        <v>3235.571821</v>
      </c>
      <c r="T94" s="3" t="s">
        <v>531</v>
      </c>
      <c r="U94" s="3" t="s">
        <v>815</v>
      </c>
      <c r="V94" s="3" t="s">
        <v>406</v>
      </c>
      <c r="W94" s="3" t="s">
        <v>816</v>
      </c>
      <c r="X94">
        <v>110709.4</v>
      </c>
      <c r="Y94">
        <v>0.85340000000000005</v>
      </c>
      <c r="Z94">
        <v>0</v>
      </c>
      <c r="AA94" s="3" t="s">
        <v>34</v>
      </c>
      <c r="AB94" s="3" t="s">
        <v>34</v>
      </c>
      <c r="AC94" s="3" t="s">
        <v>35</v>
      </c>
      <c r="AD94" s="3" t="s">
        <v>391</v>
      </c>
      <c r="AE94">
        <v>0</v>
      </c>
    </row>
    <row r="95" spans="1:33" x14ac:dyDescent="0.25">
      <c r="A95" s="3" t="s">
        <v>817</v>
      </c>
      <c r="B95">
        <v>310.26</v>
      </c>
      <c r="C95" s="3" t="s">
        <v>360</v>
      </c>
      <c r="D95" s="3" t="s">
        <v>360</v>
      </c>
      <c r="E95">
        <v>0.83</v>
      </c>
      <c r="F95">
        <v>0.56000000000000005</v>
      </c>
      <c r="G95">
        <v>2</v>
      </c>
      <c r="H95" s="3" t="s">
        <v>415</v>
      </c>
      <c r="I95">
        <v>0</v>
      </c>
      <c r="J95" s="3" t="s">
        <v>818</v>
      </c>
      <c r="K95">
        <v>330</v>
      </c>
      <c r="L95">
        <v>4.7</v>
      </c>
      <c r="M95">
        <v>5.697E-2</v>
      </c>
      <c r="N95">
        <v>6.3624E-2</v>
      </c>
      <c r="O95" s="3" t="s">
        <v>819</v>
      </c>
      <c r="P95" s="3" t="s">
        <v>105</v>
      </c>
      <c r="Q95">
        <v>516411008</v>
      </c>
      <c r="R95">
        <v>160221691904</v>
      </c>
      <c r="S95">
        <v>160221.69190400001</v>
      </c>
      <c r="T95" s="3" t="s">
        <v>399</v>
      </c>
      <c r="U95" s="3" t="s">
        <v>820</v>
      </c>
      <c r="V95" s="3" t="s">
        <v>366</v>
      </c>
      <c r="W95" s="3" t="s">
        <v>34</v>
      </c>
      <c r="X95">
        <v>0</v>
      </c>
      <c r="Y95">
        <v>1</v>
      </c>
      <c r="Z95">
        <v>0</v>
      </c>
      <c r="AA95" s="3" t="s">
        <v>34</v>
      </c>
      <c r="AB95" s="3" t="s">
        <v>115</v>
      </c>
      <c r="AC95" s="3" t="s">
        <v>35</v>
      </c>
      <c r="AD95" s="3" t="s">
        <v>391</v>
      </c>
      <c r="AE95">
        <v>0</v>
      </c>
      <c r="AF95">
        <v>15.056912000000001</v>
      </c>
      <c r="AG95">
        <v>5</v>
      </c>
    </row>
    <row r="96" spans="1:33" x14ac:dyDescent="0.25">
      <c r="A96" s="3" t="s">
        <v>65</v>
      </c>
      <c r="B96">
        <v>349.52</v>
      </c>
      <c r="C96" s="3" t="s">
        <v>360</v>
      </c>
      <c r="D96" s="3" t="s">
        <v>360</v>
      </c>
      <c r="E96">
        <v>0.32</v>
      </c>
      <c r="F96">
        <v>0.96</v>
      </c>
      <c r="G96">
        <v>6</v>
      </c>
      <c r="H96" s="3" t="s">
        <v>524</v>
      </c>
      <c r="I96">
        <v>1786</v>
      </c>
      <c r="J96" s="3" t="s">
        <v>821</v>
      </c>
      <c r="K96">
        <v>375</v>
      </c>
      <c r="L96">
        <v>3.2</v>
      </c>
      <c r="M96">
        <v>3.4132999999999997E-2</v>
      </c>
      <c r="N96">
        <v>7.2900000000000006E-2</v>
      </c>
      <c r="O96" s="3" t="s">
        <v>822</v>
      </c>
      <c r="P96" s="3" t="s">
        <v>105</v>
      </c>
      <c r="Q96">
        <v>276916000</v>
      </c>
      <c r="R96">
        <v>96787677184</v>
      </c>
      <c r="S96">
        <v>96787.677184</v>
      </c>
      <c r="T96" s="3" t="s">
        <v>399</v>
      </c>
      <c r="U96" s="3" t="s">
        <v>823</v>
      </c>
      <c r="V96" s="3" t="s">
        <v>366</v>
      </c>
      <c r="W96" s="3" t="s">
        <v>824</v>
      </c>
      <c r="X96">
        <v>624242.69999999995</v>
      </c>
      <c r="Y96">
        <v>1</v>
      </c>
      <c r="Z96">
        <v>0</v>
      </c>
      <c r="AA96" s="3" t="s">
        <v>34</v>
      </c>
      <c r="AB96" s="3" t="s">
        <v>115</v>
      </c>
      <c r="AC96" s="3" t="s">
        <v>825</v>
      </c>
      <c r="AD96" s="3" t="s">
        <v>826</v>
      </c>
      <c r="AE96">
        <v>0</v>
      </c>
      <c r="AF96">
        <v>12.872354</v>
      </c>
      <c r="AG96">
        <v>27</v>
      </c>
    </row>
    <row r="97" spans="1:33" x14ac:dyDescent="0.25">
      <c r="A97" s="3" t="s">
        <v>827</v>
      </c>
      <c r="B97">
        <v>742.6</v>
      </c>
      <c r="C97" s="3" t="s">
        <v>360</v>
      </c>
      <c r="D97" s="3" t="s">
        <v>360</v>
      </c>
      <c r="E97">
        <v>0.67</v>
      </c>
      <c r="F97">
        <v>0.53</v>
      </c>
      <c r="G97">
        <v>5</v>
      </c>
      <c r="H97" s="3" t="s">
        <v>361</v>
      </c>
      <c r="I97">
        <v>0</v>
      </c>
      <c r="J97" s="3" t="s">
        <v>34</v>
      </c>
      <c r="O97" s="3" t="s">
        <v>828</v>
      </c>
      <c r="P97" s="3" t="s">
        <v>654</v>
      </c>
      <c r="Q97">
        <v>74283104</v>
      </c>
      <c r="R97">
        <v>55162630144</v>
      </c>
      <c r="S97">
        <v>59684.959526999999</v>
      </c>
      <c r="T97" s="3" t="s">
        <v>655</v>
      </c>
      <c r="U97" s="3" t="s">
        <v>829</v>
      </c>
      <c r="V97" s="3" t="s">
        <v>366</v>
      </c>
      <c r="W97" s="3" t="s">
        <v>34</v>
      </c>
      <c r="X97">
        <v>0</v>
      </c>
      <c r="Y97">
        <v>0.92420000000000002</v>
      </c>
      <c r="Z97">
        <v>0</v>
      </c>
      <c r="AA97" s="3" t="s">
        <v>34</v>
      </c>
      <c r="AB97" s="3" t="s">
        <v>34</v>
      </c>
      <c r="AC97" s="3" t="s">
        <v>35</v>
      </c>
      <c r="AD97" s="3" t="s">
        <v>391</v>
      </c>
      <c r="AE97">
        <v>0</v>
      </c>
    </row>
    <row r="98" spans="1:33" x14ac:dyDescent="0.25">
      <c r="A98" s="3" t="s">
        <v>830</v>
      </c>
      <c r="B98">
        <v>55.86</v>
      </c>
      <c r="C98" s="3" t="s">
        <v>360</v>
      </c>
      <c r="D98" s="3" t="s">
        <v>360</v>
      </c>
      <c r="E98">
        <v>0.92</v>
      </c>
      <c r="F98">
        <v>0.13</v>
      </c>
      <c r="G98">
        <v>1</v>
      </c>
      <c r="H98" s="3" t="s">
        <v>402</v>
      </c>
      <c r="I98">
        <v>0</v>
      </c>
      <c r="J98" s="3" t="s">
        <v>831</v>
      </c>
      <c r="K98">
        <v>70</v>
      </c>
      <c r="L98">
        <v>0.97</v>
      </c>
      <c r="M98">
        <v>5.5428999999999999E-2</v>
      </c>
      <c r="N98">
        <v>0.253133</v>
      </c>
      <c r="O98" s="3" t="s">
        <v>832</v>
      </c>
      <c r="P98" s="3" t="s">
        <v>105</v>
      </c>
      <c r="Q98">
        <v>326472000</v>
      </c>
      <c r="R98">
        <v>18728404992</v>
      </c>
      <c r="S98">
        <v>18728.404992</v>
      </c>
      <c r="T98" s="3" t="s">
        <v>382</v>
      </c>
      <c r="U98" s="3" t="s">
        <v>833</v>
      </c>
      <c r="V98" s="3" t="s">
        <v>366</v>
      </c>
      <c r="W98" s="3" t="s">
        <v>34</v>
      </c>
      <c r="X98">
        <v>0</v>
      </c>
      <c r="Y98">
        <v>1</v>
      </c>
      <c r="Z98">
        <v>0</v>
      </c>
      <c r="AA98" s="3" t="s">
        <v>34</v>
      </c>
      <c r="AB98" s="3" t="s">
        <v>115</v>
      </c>
      <c r="AC98" s="3" t="s">
        <v>35</v>
      </c>
      <c r="AD98" s="3" t="s">
        <v>391</v>
      </c>
      <c r="AE98">
        <v>0</v>
      </c>
      <c r="AF98">
        <v>15.452931</v>
      </c>
      <c r="AG98">
        <v>8</v>
      </c>
    </row>
    <row r="99" spans="1:33" x14ac:dyDescent="0.25">
      <c r="A99" s="3" t="s">
        <v>834</v>
      </c>
      <c r="B99">
        <v>358.16</v>
      </c>
      <c r="C99" s="3" t="s">
        <v>360</v>
      </c>
      <c r="D99" s="3" t="s">
        <v>360</v>
      </c>
      <c r="E99">
        <v>0.37</v>
      </c>
      <c r="F99">
        <v>0.89</v>
      </c>
      <c r="G99">
        <v>6</v>
      </c>
      <c r="H99" s="3" t="s">
        <v>524</v>
      </c>
      <c r="I99">
        <v>0</v>
      </c>
      <c r="J99" s="3" t="s">
        <v>835</v>
      </c>
      <c r="K99">
        <v>395</v>
      </c>
      <c r="L99">
        <v>4.0999999999999996</v>
      </c>
      <c r="M99">
        <v>4.1519E-2</v>
      </c>
      <c r="N99">
        <v>0.10285900000000001</v>
      </c>
      <c r="O99" s="3" t="s">
        <v>836</v>
      </c>
      <c r="P99" s="3" t="s">
        <v>105</v>
      </c>
      <c r="Q99">
        <v>978828992</v>
      </c>
      <c r="R99">
        <v>353423327232</v>
      </c>
      <c r="S99">
        <v>353423.32723200001</v>
      </c>
      <c r="T99" s="3" t="s">
        <v>399</v>
      </c>
      <c r="U99" s="3" t="s">
        <v>837</v>
      </c>
      <c r="V99" s="3" t="s">
        <v>366</v>
      </c>
      <c r="W99" s="3" t="s">
        <v>34</v>
      </c>
      <c r="X99">
        <v>0</v>
      </c>
      <c r="Y99">
        <v>1</v>
      </c>
      <c r="Z99">
        <v>0</v>
      </c>
      <c r="AA99" s="3" t="s">
        <v>34</v>
      </c>
      <c r="AB99" s="3" t="s">
        <v>115</v>
      </c>
      <c r="AC99" s="3" t="s">
        <v>35</v>
      </c>
      <c r="AD99" s="3" t="s">
        <v>391</v>
      </c>
      <c r="AE99">
        <v>0</v>
      </c>
      <c r="AF99">
        <v>18.590465999999999</v>
      </c>
      <c r="AG99">
        <v>29</v>
      </c>
    </row>
    <row r="100" spans="1:33" x14ac:dyDescent="0.25">
      <c r="A100" s="3" t="s">
        <v>838</v>
      </c>
      <c r="B100">
        <v>19.97</v>
      </c>
      <c r="C100" s="3" t="s">
        <v>360</v>
      </c>
      <c r="D100" s="3" t="s">
        <v>360</v>
      </c>
      <c r="E100">
        <v>1</v>
      </c>
      <c r="F100">
        <v>1</v>
      </c>
      <c r="G100">
        <v>3</v>
      </c>
      <c r="H100" s="3" t="s">
        <v>371</v>
      </c>
      <c r="I100">
        <v>0</v>
      </c>
      <c r="J100" s="3" t="s">
        <v>839</v>
      </c>
      <c r="K100">
        <v>23</v>
      </c>
      <c r="L100">
        <v>0.25</v>
      </c>
      <c r="M100">
        <v>4.3478000000000003E-2</v>
      </c>
      <c r="N100">
        <v>0.151728</v>
      </c>
      <c r="O100" s="3" t="s">
        <v>840</v>
      </c>
      <c r="P100" s="3" t="s">
        <v>105</v>
      </c>
      <c r="Q100">
        <v>43286800</v>
      </c>
      <c r="R100">
        <v>3254990080</v>
      </c>
      <c r="S100">
        <v>3254.99008</v>
      </c>
      <c r="T100" s="3" t="s">
        <v>399</v>
      </c>
      <c r="U100" s="3" t="s">
        <v>841</v>
      </c>
      <c r="V100" s="3" t="s">
        <v>406</v>
      </c>
      <c r="W100" s="3" t="s">
        <v>34</v>
      </c>
      <c r="X100">
        <v>0</v>
      </c>
      <c r="Y100">
        <v>1</v>
      </c>
      <c r="Z100">
        <v>0</v>
      </c>
      <c r="AA100" s="3" t="s">
        <v>34</v>
      </c>
      <c r="AB100" s="3" t="s">
        <v>115</v>
      </c>
      <c r="AC100" s="3" t="s">
        <v>35</v>
      </c>
      <c r="AD100" s="3" t="s">
        <v>391</v>
      </c>
      <c r="AE100">
        <v>0</v>
      </c>
      <c r="AF100">
        <v>19.617225000000001</v>
      </c>
      <c r="AG100">
        <v>22</v>
      </c>
    </row>
    <row r="101" spans="1:33" x14ac:dyDescent="0.25">
      <c r="A101" s="3" t="s">
        <v>842</v>
      </c>
      <c r="B101">
        <v>165.3</v>
      </c>
      <c r="C101" s="3" t="s">
        <v>360</v>
      </c>
      <c r="D101" s="3" t="s">
        <v>360</v>
      </c>
      <c r="E101">
        <v>1</v>
      </c>
      <c r="F101">
        <v>1</v>
      </c>
      <c r="G101">
        <v>3</v>
      </c>
      <c r="H101" s="3" t="s">
        <v>371</v>
      </c>
      <c r="I101">
        <v>0</v>
      </c>
      <c r="J101" s="3" t="s">
        <v>843</v>
      </c>
      <c r="K101">
        <v>195</v>
      </c>
      <c r="L101">
        <v>2.35</v>
      </c>
      <c r="M101">
        <v>3.6153999999999999E-2</v>
      </c>
      <c r="N101">
        <v>0.179673</v>
      </c>
      <c r="O101" s="3" t="s">
        <v>844</v>
      </c>
      <c r="P101" s="3" t="s">
        <v>105</v>
      </c>
      <c r="Q101">
        <v>274040000</v>
      </c>
      <c r="R101">
        <v>45298810880</v>
      </c>
      <c r="S101">
        <v>45298.810879999997</v>
      </c>
      <c r="T101" s="3" t="s">
        <v>382</v>
      </c>
      <c r="U101" s="3" t="s">
        <v>845</v>
      </c>
      <c r="V101" s="3" t="s">
        <v>366</v>
      </c>
      <c r="W101" s="3" t="s">
        <v>34</v>
      </c>
      <c r="X101">
        <v>0</v>
      </c>
      <c r="Y101">
        <v>1</v>
      </c>
      <c r="Z101">
        <v>0</v>
      </c>
      <c r="AA101" s="3" t="s">
        <v>34</v>
      </c>
      <c r="AB101" s="3" t="s">
        <v>390</v>
      </c>
      <c r="AC101" s="3" t="s">
        <v>35</v>
      </c>
      <c r="AD101" s="3" t="s">
        <v>391</v>
      </c>
      <c r="AE101">
        <v>0</v>
      </c>
      <c r="AF101">
        <v>18.46002</v>
      </c>
      <c r="AG101">
        <v>25</v>
      </c>
    </row>
    <row r="102" spans="1:33" x14ac:dyDescent="0.25">
      <c r="A102" s="3" t="s">
        <v>846</v>
      </c>
      <c r="B102">
        <v>376.27</v>
      </c>
      <c r="C102" s="3" t="s">
        <v>360</v>
      </c>
      <c r="D102" s="3" t="s">
        <v>360</v>
      </c>
      <c r="E102">
        <v>0.43</v>
      </c>
      <c r="F102">
        <v>0.04</v>
      </c>
      <c r="G102">
        <v>4</v>
      </c>
      <c r="H102" s="3" t="s">
        <v>379</v>
      </c>
      <c r="I102">
        <v>0</v>
      </c>
      <c r="J102" s="3" t="s">
        <v>847</v>
      </c>
      <c r="K102">
        <v>450</v>
      </c>
      <c r="L102">
        <v>0.8</v>
      </c>
      <c r="M102">
        <v>7.1110000000000001E-3</v>
      </c>
      <c r="N102">
        <v>0.19595000000000001</v>
      </c>
      <c r="O102" s="3" t="s">
        <v>848</v>
      </c>
      <c r="P102" s="3" t="s">
        <v>105</v>
      </c>
      <c r="Q102">
        <v>186200000</v>
      </c>
      <c r="R102">
        <v>70061473792</v>
      </c>
      <c r="S102">
        <v>70061.473792000004</v>
      </c>
      <c r="T102" s="3" t="s">
        <v>399</v>
      </c>
      <c r="U102" s="3" t="s">
        <v>849</v>
      </c>
      <c r="V102" s="3" t="s">
        <v>366</v>
      </c>
      <c r="W102" s="3" t="s">
        <v>34</v>
      </c>
      <c r="X102">
        <v>0</v>
      </c>
      <c r="Y102">
        <v>1</v>
      </c>
      <c r="Z102">
        <v>0</v>
      </c>
      <c r="AA102" s="3" t="s">
        <v>34</v>
      </c>
      <c r="AB102" s="3" t="s">
        <v>115</v>
      </c>
      <c r="AC102" s="3" t="s">
        <v>35</v>
      </c>
      <c r="AD102" s="3" t="s">
        <v>391</v>
      </c>
      <c r="AE102">
        <v>0</v>
      </c>
      <c r="AF102">
        <v>15.811709</v>
      </c>
      <c r="AG102">
        <v>21</v>
      </c>
    </row>
    <row r="103" spans="1:33" x14ac:dyDescent="0.25">
      <c r="A103" s="3" t="s">
        <v>850</v>
      </c>
      <c r="B103">
        <v>60.36</v>
      </c>
      <c r="C103" s="3" t="s">
        <v>360</v>
      </c>
      <c r="D103" s="3" t="s">
        <v>360</v>
      </c>
      <c r="E103">
        <v>0.06</v>
      </c>
      <c r="F103">
        <v>1</v>
      </c>
      <c r="G103">
        <v>9</v>
      </c>
      <c r="H103" s="3" t="s">
        <v>428</v>
      </c>
      <c r="I103">
        <v>0</v>
      </c>
      <c r="J103" s="3" t="s">
        <v>851</v>
      </c>
      <c r="K103">
        <v>65</v>
      </c>
      <c r="L103">
        <v>0.35</v>
      </c>
      <c r="M103">
        <v>2.1538000000000002E-2</v>
      </c>
      <c r="N103">
        <v>7.6871999999999996E-2</v>
      </c>
      <c r="O103" s="3" t="s">
        <v>852</v>
      </c>
      <c r="P103" s="3" t="s">
        <v>105</v>
      </c>
      <c r="Q103">
        <v>1397820032</v>
      </c>
      <c r="R103">
        <v>84372414464</v>
      </c>
      <c r="S103">
        <v>84372.414464000001</v>
      </c>
      <c r="T103" s="3" t="s">
        <v>382</v>
      </c>
      <c r="U103" s="3" t="s">
        <v>853</v>
      </c>
      <c r="V103" s="3" t="s">
        <v>366</v>
      </c>
      <c r="W103" s="3" t="s">
        <v>34</v>
      </c>
      <c r="X103">
        <v>0</v>
      </c>
      <c r="Y103">
        <v>1</v>
      </c>
      <c r="Z103">
        <v>0</v>
      </c>
      <c r="AA103" s="3" t="s">
        <v>34</v>
      </c>
      <c r="AB103" s="3" t="s">
        <v>115</v>
      </c>
      <c r="AC103" s="3" t="s">
        <v>35</v>
      </c>
      <c r="AD103" s="3" t="s">
        <v>391</v>
      </c>
      <c r="AE103">
        <v>0</v>
      </c>
      <c r="AF103">
        <v>18.019566999999999</v>
      </c>
      <c r="AG103">
        <v>34</v>
      </c>
    </row>
    <row r="104" spans="1:33" x14ac:dyDescent="0.25">
      <c r="A104" s="3" t="s">
        <v>48</v>
      </c>
      <c r="B104">
        <v>9.2799999999999994</v>
      </c>
      <c r="C104" s="3" t="s">
        <v>360</v>
      </c>
      <c r="D104" s="3" t="s">
        <v>360</v>
      </c>
      <c r="E104">
        <v>0.77</v>
      </c>
      <c r="F104">
        <v>0</v>
      </c>
      <c r="G104">
        <v>1</v>
      </c>
      <c r="H104" s="3" t="s">
        <v>402</v>
      </c>
      <c r="I104">
        <v>117375</v>
      </c>
      <c r="J104" s="3" t="s">
        <v>854</v>
      </c>
      <c r="K104">
        <v>15</v>
      </c>
      <c r="L104">
        <v>0.15</v>
      </c>
      <c r="M104">
        <v>0.04</v>
      </c>
      <c r="N104">
        <v>0.61637900000000001</v>
      </c>
      <c r="O104" s="3" t="s">
        <v>855</v>
      </c>
      <c r="P104" s="3" t="s">
        <v>105</v>
      </c>
      <c r="Q104">
        <v>93026600</v>
      </c>
      <c r="R104">
        <v>3774973696</v>
      </c>
      <c r="S104">
        <v>3774.973696</v>
      </c>
      <c r="T104" s="3" t="s">
        <v>382</v>
      </c>
      <c r="U104" s="3" t="s">
        <v>856</v>
      </c>
      <c r="V104" s="3" t="s">
        <v>406</v>
      </c>
      <c r="W104" s="3" t="s">
        <v>857</v>
      </c>
      <c r="X104">
        <v>1089240</v>
      </c>
      <c r="Y104">
        <v>1</v>
      </c>
      <c r="Z104">
        <v>0</v>
      </c>
      <c r="AA104" s="3" t="s">
        <v>34</v>
      </c>
      <c r="AB104" s="3" t="s">
        <v>115</v>
      </c>
      <c r="AC104" s="3" t="s">
        <v>858</v>
      </c>
      <c r="AD104" s="3" t="s">
        <v>859</v>
      </c>
      <c r="AE104">
        <v>0</v>
      </c>
    </row>
    <row r="105" spans="1:33" x14ac:dyDescent="0.25">
      <c r="A105" s="3" t="s">
        <v>40</v>
      </c>
      <c r="B105">
        <v>1869.62</v>
      </c>
      <c r="C105" s="3" t="s">
        <v>360</v>
      </c>
      <c r="D105" s="3" t="s">
        <v>360</v>
      </c>
      <c r="E105">
        <v>0.82</v>
      </c>
      <c r="F105">
        <v>0.7</v>
      </c>
      <c r="G105">
        <v>2</v>
      </c>
      <c r="H105" s="3" t="s">
        <v>415</v>
      </c>
      <c r="I105">
        <v>622</v>
      </c>
      <c r="J105" s="3" t="s">
        <v>860</v>
      </c>
      <c r="K105">
        <v>2300</v>
      </c>
      <c r="L105">
        <v>24.2</v>
      </c>
      <c r="M105">
        <v>4.2086999999999999E-2</v>
      </c>
      <c r="N105">
        <v>0.23019700000000001</v>
      </c>
      <c r="O105" s="3" t="s">
        <v>861</v>
      </c>
      <c r="P105" s="3" t="s">
        <v>105</v>
      </c>
      <c r="Q105">
        <v>49711600</v>
      </c>
      <c r="R105">
        <v>92941803520</v>
      </c>
      <c r="S105">
        <v>92941.803520000001</v>
      </c>
      <c r="T105" s="3" t="s">
        <v>382</v>
      </c>
      <c r="U105" s="3" t="s">
        <v>862</v>
      </c>
      <c r="V105" s="3" t="s">
        <v>366</v>
      </c>
      <c r="W105" s="3" t="s">
        <v>863</v>
      </c>
      <c r="X105">
        <v>1162903.6399999999</v>
      </c>
      <c r="Y105">
        <v>1</v>
      </c>
      <c r="Z105">
        <v>0</v>
      </c>
      <c r="AA105" s="3" t="s">
        <v>34</v>
      </c>
      <c r="AB105" s="3" t="s">
        <v>115</v>
      </c>
      <c r="AC105" s="3" t="s">
        <v>864</v>
      </c>
      <c r="AD105" s="3" t="s">
        <v>865</v>
      </c>
      <c r="AE105">
        <v>0</v>
      </c>
      <c r="AF105">
        <v>19.155873</v>
      </c>
      <c r="AG105">
        <v>21</v>
      </c>
    </row>
    <row r="106" spans="1:33" x14ac:dyDescent="0.25">
      <c r="A106" s="3" t="s">
        <v>866</v>
      </c>
      <c r="B106">
        <v>424</v>
      </c>
      <c r="C106" s="3" t="s">
        <v>360</v>
      </c>
      <c r="D106" s="3" t="s">
        <v>360</v>
      </c>
      <c r="E106">
        <v>0.03</v>
      </c>
      <c r="F106">
        <v>1</v>
      </c>
      <c r="G106">
        <v>9</v>
      </c>
      <c r="H106" s="3" t="s">
        <v>428</v>
      </c>
      <c r="I106">
        <v>0</v>
      </c>
      <c r="J106" s="3" t="s">
        <v>867</v>
      </c>
      <c r="K106">
        <v>580</v>
      </c>
      <c r="L106">
        <v>4.8</v>
      </c>
      <c r="M106">
        <v>3.3103E-2</v>
      </c>
      <c r="N106">
        <v>0.367925</v>
      </c>
      <c r="O106" s="3" t="s">
        <v>868</v>
      </c>
      <c r="P106" s="3" t="s">
        <v>105</v>
      </c>
      <c r="Q106">
        <v>38000400</v>
      </c>
      <c r="R106">
        <v>16112169984</v>
      </c>
      <c r="S106">
        <v>16112.169984</v>
      </c>
      <c r="T106" s="3" t="s">
        <v>382</v>
      </c>
      <c r="U106" s="3" t="s">
        <v>869</v>
      </c>
      <c r="V106" s="3" t="s">
        <v>366</v>
      </c>
      <c r="W106" s="3" t="s">
        <v>34</v>
      </c>
      <c r="X106">
        <v>0</v>
      </c>
      <c r="Y106">
        <v>1</v>
      </c>
      <c r="Z106">
        <v>0</v>
      </c>
      <c r="AA106" s="3" t="s">
        <v>34</v>
      </c>
      <c r="AB106" s="3" t="s">
        <v>122</v>
      </c>
      <c r="AC106" s="3" t="s">
        <v>35</v>
      </c>
      <c r="AD106" s="3" t="s">
        <v>391</v>
      </c>
      <c r="AE106">
        <v>0</v>
      </c>
      <c r="AF106">
        <v>18.286168</v>
      </c>
      <c r="AG106">
        <v>18</v>
      </c>
    </row>
    <row r="107" spans="1:33" x14ac:dyDescent="0.25">
      <c r="A107" s="3" t="s">
        <v>870</v>
      </c>
      <c r="B107">
        <v>351</v>
      </c>
      <c r="C107" s="3" t="s">
        <v>360</v>
      </c>
      <c r="D107" s="3" t="s">
        <v>360</v>
      </c>
      <c r="E107">
        <v>0.23</v>
      </c>
      <c r="F107">
        <v>0.92</v>
      </c>
      <c r="G107">
        <v>9</v>
      </c>
      <c r="H107" s="3" t="s">
        <v>428</v>
      </c>
      <c r="I107">
        <v>0</v>
      </c>
      <c r="J107" s="3" t="s">
        <v>871</v>
      </c>
      <c r="K107">
        <v>400</v>
      </c>
      <c r="L107">
        <v>3.3</v>
      </c>
      <c r="M107">
        <v>3.3000000000000002E-2</v>
      </c>
      <c r="N107">
        <v>0.139601</v>
      </c>
      <c r="O107" s="3" t="s">
        <v>872</v>
      </c>
      <c r="P107" s="3" t="s">
        <v>105</v>
      </c>
      <c r="Q107">
        <v>62377300</v>
      </c>
      <c r="R107">
        <v>21894432768</v>
      </c>
      <c r="S107">
        <v>21894.432767999999</v>
      </c>
      <c r="T107" s="3" t="s">
        <v>399</v>
      </c>
      <c r="U107" s="3" t="s">
        <v>873</v>
      </c>
      <c r="V107" s="3" t="s">
        <v>366</v>
      </c>
      <c r="W107" s="3" t="s">
        <v>34</v>
      </c>
      <c r="X107">
        <v>0</v>
      </c>
      <c r="Y107">
        <v>1</v>
      </c>
      <c r="Z107">
        <v>0</v>
      </c>
      <c r="AA107" s="3" t="s">
        <v>34</v>
      </c>
      <c r="AB107" s="3" t="s">
        <v>115</v>
      </c>
      <c r="AC107" s="3" t="s">
        <v>35</v>
      </c>
      <c r="AD107" s="3" t="s">
        <v>391</v>
      </c>
      <c r="AE107">
        <v>0</v>
      </c>
      <c r="AF107">
        <v>16.917446000000002</v>
      </c>
      <c r="AG107">
        <v>19</v>
      </c>
    </row>
    <row r="108" spans="1:33" x14ac:dyDescent="0.25">
      <c r="A108" s="3" t="s">
        <v>874</v>
      </c>
      <c r="B108">
        <v>181.04</v>
      </c>
      <c r="C108" s="3" t="s">
        <v>360</v>
      </c>
      <c r="D108" s="3" t="s">
        <v>360</v>
      </c>
      <c r="E108">
        <v>0.12</v>
      </c>
      <c r="F108">
        <v>1</v>
      </c>
      <c r="G108">
        <v>9</v>
      </c>
      <c r="H108" s="3" t="s">
        <v>428</v>
      </c>
      <c r="I108">
        <v>0</v>
      </c>
      <c r="J108" s="3" t="s">
        <v>875</v>
      </c>
      <c r="K108">
        <v>200</v>
      </c>
      <c r="L108">
        <v>2.1800000000000002</v>
      </c>
      <c r="M108">
        <v>3.27E-2</v>
      </c>
      <c r="N108">
        <v>0.104728</v>
      </c>
      <c r="O108" s="3" t="s">
        <v>876</v>
      </c>
      <c r="P108" s="3" t="s">
        <v>105</v>
      </c>
      <c r="Q108">
        <v>578638016</v>
      </c>
      <c r="R108">
        <v>104756625408</v>
      </c>
      <c r="S108">
        <v>104756.62540800001</v>
      </c>
      <c r="T108" s="3" t="s">
        <v>399</v>
      </c>
      <c r="U108" s="3" t="s">
        <v>877</v>
      </c>
      <c r="V108" s="3" t="s">
        <v>366</v>
      </c>
      <c r="W108" s="3" t="s">
        <v>34</v>
      </c>
      <c r="X108">
        <v>0</v>
      </c>
      <c r="Y108">
        <v>1</v>
      </c>
      <c r="Z108">
        <v>0</v>
      </c>
      <c r="AA108" s="3" t="s">
        <v>34</v>
      </c>
      <c r="AB108" s="3" t="s">
        <v>390</v>
      </c>
      <c r="AC108" s="3" t="s">
        <v>35</v>
      </c>
      <c r="AD108" s="3" t="s">
        <v>391</v>
      </c>
      <c r="AE108">
        <v>0</v>
      </c>
      <c r="AF108">
        <v>17.014543</v>
      </c>
      <c r="AG108">
        <v>40</v>
      </c>
    </row>
    <row r="109" spans="1:33" x14ac:dyDescent="0.25">
      <c r="A109" s="3" t="s">
        <v>128</v>
      </c>
      <c r="B109">
        <v>430.14</v>
      </c>
      <c r="C109" s="3" t="s">
        <v>360</v>
      </c>
      <c r="D109" s="3" t="s">
        <v>360</v>
      </c>
      <c r="E109">
        <v>0.73</v>
      </c>
      <c r="F109">
        <v>0.24</v>
      </c>
      <c r="G109">
        <v>4</v>
      </c>
      <c r="H109" s="3" t="s">
        <v>379</v>
      </c>
      <c r="I109">
        <v>441</v>
      </c>
      <c r="J109" s="3" t="s">
        <v>878</v>
      </c>
      <c r="K109">
        <v>640</v>
      </c>
      <c r="L109">
        <v>8</v>
      </c>
      <c r="M109">
        <v>3.7499999999999999E-2</v>
      </c>
      <c r="N109">
        <v>0.48788799999999999</v>
      </c>
      <c r="O109" s="3" t="s">
        <v>879</v>
      </c>
      <c r="P109" s="3" t="s">
        <v>105</v>
      </c>
      <c r="Q109">
        <v>403646016</v>
      </c>
      <c r="R109">
        <v>173624295424</v>
      </c>
      <c r="S109">
        <v>173624.29542400001</v>
      </c>
      <c r="T109" s="3" t="s">
        <v>382</v>
      </c>
      <c r="U109" s="3" t="s">
        <v>880</v>
      </c>
      <c r="V109" s="3" t="s">
        <v>366</v>
      </c>
      <c r="W109" s="3" t="s">
        <v>881</v>
      </c>
      <c r="X109">
        <v>189691.75</v>
      </c>
      <c r="Y109">
        <v>1</v>
      </c>
      <c r="Z109">
        <v>0</v>
      </c>
      <c r="AA109" s="3" t="s">
        <v>34</v>
      </c>
      <c r="AB109" s="3" t="s">
        <v>390</v>
      </c>
      <c r="AC109" s="3" t="s">
        <v>882</v>
      </c>
      <c r="AD109" s="3" t="s">
        <v>883</v>
      </c>
      <c r="AE109">
        <v>0</v>
      </c>
    </row>
    <row r="110" spans="1:33" x14ac:dyDescent="0.25">
      <c r="A110" s="3" t="s">
        <v>884</v>
      </c>
      <c r="B110">
        <v>661.37</v>
      </c>
      <c r="C110" s="3" t="s">
        <v>360</v>
      </c>
      <c r="D110" s="3" t="s">
        <v>360</v>
      </c>
      <c r="E110">
        <v>1</v>
      </c>
      <c r="F110">
        <v>0</v>
      </c>
      <c r="G110">
        <v>1</v>
      </c>
      <c r="H110" s="3" t="s">
        <v>402</v>
      </c>
      <c r="I110">
        <v>0</v>
      </c>
      <c r="J110" s="3" t="s">
        <v>885</v>
      </c>
      <c r="K110">
        <v>740</v>
      </c>
      <c r="L110">
        <v>8.9</v>
      </c>
      <c r="M110">
        <v>3.6081000000000002E-2</v>
      </c>
      <c r="N110">
        <v>0.11889</v>
      </c>
      <c r="O110" s="3" t="s">
        <v>886</v>
      </c>
      <c r="P110" s="3" t="s">
        <v>105</v>
      </c>
      <c r="Q110">
        <v>82442304</v>
      </c>
      <c r="R110">
        <v>54524866560</v>
      </c>
      <c r="S110">
        <v>54524.866560000002</v>
      </c>
      <c r="T110" s="3" t="s">
        <v>399</v>
      </c>
      <c r="U110" s="3" t="s">
        <v>887</v>
      </c>
      <c r="V110" s="3" t="s">
        <v>366</v>
      </c>
      <c r="W110" s="3" t="s">
        <v>34</v>
      </c>
      <c r="X110">
        <v>0</v>
      </c>
      <c r="Y110">
        <v>1</v>
      </c>
      <c r="Z110">
        <v>0</v>
      </c>
      <c r="AA110" s="3" t="s">
        <v>34</v>
      </c>
      <c r="AB110" s="3" t="s">
        <v>115</v>
      </c>
      <c r="AC110" s="3" t="s">
        <v>35</v>
      </c>
      <c r="AD110" s="3" t="s">
        <v>391</v>
      </c>
      <c r="AE110">
        <v>0</v>
      </c>
      <c r="AF110">
        <v>15.379398</v>
      </c>
      <c r="AG110">
        <v>15</v>
      </c>
    </row>
    <row r="111" spans="1:33" x14ac:dyDescent="0.25">
      <c r="A111" s="3" t="s">
        <v>47</v>
      </c>
      <c r="B111">
        <v>299.35000000000002</v>
      </c>
      <c r="C111" s="3" t="s">
        <v>360</v>
      </c>
      <c r="D111" s="3" t="s">
        <v>360</v>
      </c>
      <c r="E111">
        <v>0.8</v>
      </c>
      <c r="F111">
        <v>0</v>
      </c>
      <c r="G111">
        <v>1</v>
      </c>
      <c r="H111" s="3" t="s">
        <v>402</v>
      </c>
      <c r="I111">
        <v>3441</v>
      </c>
      <c r="J111" s="3" t="s">
        <v>888</v>
      </c>
      <c r="K111">
        <v>320</v>
      </c>
      <c r="L111">
        <v>4.2</v>
      </c>
      <c r="M111">
        <v>5.2499999999999998E-2</v>
      </c>
      <c r="N111">
        <v>6.8983000000000003E-2</v>
      </c>
      <c r="O111" s="3" t="s">
        <v>889</v>
      </c>
      <c r="P111" s="3" t="s">
        <v>105</v>
      </c>
      <c r="Q111">
        <v>2147483647</v>
      </c>
      <c r="R111">
        <v>2249582444544</v>
      </c>
      <c r="S111">
        <v>2249582.4445440001</v>
      </c>
      <c r="T111" s="3" t="s">
        <v>382</v>
      </c>
      <c r="U111" s="3" t="s">
        <v>890</v>
      </c>
      <c r="V111" s="3" t="s">
        <v>366</v>
      </c>
      <c r="W111" s="3" t="s">
        <v>891</v>
      </c>
      <c r="X111">
        <v>1030063.37</v>
      </c>
      <c r="Y111">
        <v>1</v>
      </c>
      <c r="Z111">
        <v>0</v>
      </c>
      <c r="AA111" s="3" t="s">
        <v>34</v>
      </c>
      <c r="AB111" s="3" t="s">
        <v>115</v>
      </c>
      <c r="AC111" s="3" t="s">
        <v>892</v>
      </c>
      <c r="AD111" s="3" t="s">
        <v>893</v>
      </c>
      <c r="AE111">
        <v>0</v>
      </c>
      <c r="AF111">
        <v>19.607002000000001</v>
      </c>
      <c r="AG111">
        <v>58</v>
      </c>
    </row>
    <row r="112" spans="1:33" x14ac:dyDescent="0.25">
      <c r="A112" s="3" t="s">
        <v>894</v>
      </c>
      <c r="C112" s="3"/>
      <c r="D112" s="3"/>
      <c r="H112" s="3" t="s">
        <v>34</v>
      </c>
      <c r="I112">
        <v>0</v>
      </c>
      <c r="J112" s="3" t="s">
        <v>34</v>
      </c>
      <c r="O112" s="3" t="s">
        <v>34</v>
      </c>
      <c r="P112" s="3" t="s">
        <v>34</v>
      </c>
      <c r="T112" s="3" t="s">
        <v>34</v>
      </c>
      <c r="U112" s="3" t="s">
        <v>34</v>
      </c>
      <c r="V112" s="3" t="s">
        <v>34</v>
      </c>
      <c r="W112" s="3" t="s">
        <v>34</v>
      </c>
      <c r="X112">
        <v>0</v>
      </c>
      <c r="Y112">
        <v>1</v>
      </c>
      <c r="Z112">
        <v>0</v>
      </c>
      <c r="AA112" s="3" t="s">
        <v>34</v>
      </c>
      <c r="AB112" s="3" t="s">
        <v>34</v>
      </c>
      <c r="AC112" s="3" t="s">
        <v>35</v>
      </c>
      <c r="AD112" s="3" t="s">
        <v>391</v>
      </c>
      <c r="AE112">
        <v>0</v>
      </c>
      <c r="AF112">
        <v>19.760484000000002</v>
      </c>
      <c r="AG112">
        <v>14</v>
      </c>
    </row>
    <row r="113" spans="1:33" x14ac:dyDescent="0.25">
      <c r="A113" s="3" t="s">
        <v>895</v>
      </c>
      <c r="B113">
        <v>143.26</v>
      </c>
      <c r="C113" s="3" t="s">
        <v>360</v>
      </c>
      <c r="D113" s="3" t="s">
        <v>360</v>
      </c>
      <c r="E113">
        <v>1</v>
      </c>
      <c r="F113">
        <v>0.03</v>
      </c>
      <c r="G113">
        <v>1</v>
      </c>
      <c r="H113" s="3" t="s">
        <v>402</v>
      </c>
      <c r="I113">
        <v>0</v>
      </c>
      <c r="J113" s="3" t="s">
        <v>896</v>
      </c>
      <c r="K113">
        <v>165</v>
      </c>
      <c r="L113">
        <v>2.2000000000000002</v>
      </c>
      <c r="M113">
        <v>0.04</v>
      </c>
      <c r="N113">
        <v>0.151752</v>
      </c>
      <c r="O113" s="3" t="s">
        <v>897</v>
      </c>
      <c r="P113" s="3" t="s">
        <v>105</v>
      </c>
      <c r="Q113">
        <v>128678000</v>
      </c>
      <c r="R113">
        <v>18434410496</v>
      </c>
      <c r="S113">
        <v>18434.410496</v>
      </c>
      <c r="T113" s="3" t="s">
        <v>399</v>
      </c>
      <c r="U113" s="3" t="s">
        <v>898</v>
      </c>
      <c r="V113" s="3" t="s">
        <v>366</v>
      </c>
      <c r="W113" s="3" t="s">
        <v>34</v>
      </c>
      <c r="X113">
        <v>0</v>
      </c>
      <c r="Y113">
        <v>1</v>
      </c>
      <c r="Z113">
        <v>0</v>
      </c>
      <c r="AA113" s="3" t="s">
        <v>34</v>
      </c>
      <c r="AB113" s="3" t="s">
        <v>390</v>
      </c>
      <c r="AC113" s="3" t="s">
        <v>35</v>
      </c>
      <c r="AD113" s="3" t="s">
        <v>391</v>
      </c>
      <c r="AE113">
        <v>0</v>
      </c>
      <c r="AF113">
        <v>15.012109000000001</v>
      </c>
      <c r="AG113">
        <v>23</v>
      </c>
    </row>
    <row r="114" spans="1:33" x14ac:dyDescent="0.25">
      <c r="A114" s="3" t="s">
        <v>899</v>
      </c>
      <c r="B114">
        <v>351.85</v>
      </c>
      <c r="C114" s="3" t="s">
        <v>360</v>
      </c>
      <c r="D114" s="3" t="s">
        <v>360</v>
      </c>
      <c r="E114">
        <v>1</v>
      </c>
      <c r="F114">
        <v>0.96</v>
      </c>
      <c r="G114">
        <v>3</v>
      </c>
      <c r="H114" s="3" t="s">
        <v>371</v>
      </c>
      <c r="I114">
        <v>0</v>
      </c>
      <c r="J114" s="3" t="s">
        <v>900</v>
      </c>
      <c r="K114">
        <v>390</v>
      </c>
      <c r="L114">
        <v>7.5</v>
      </c>
      <c r="M114">
        <v>5.7692E-2</v>
      </c>
      <c r="N114">
        <v>0.108427</v>
      </c>
      <c r="O114" s="3" t="s">
        <v>901</v>
      </c>
      <c r="P114" s="3" t="s">
        <v>105</v>
      </c>
      <c r="Q114">
        <v>40268300</v>
      </c>
      <c r="R114">
        <v>14180364288</v>
      </c>
      <c r="S114">
        <v>14180.364288000001</v>
      </c>
      <c r="T114" s="3" t="s">
        <v>399</v>
      </c>
      <c r="U114" s="3" t="s">
        <v>902</v>
      </c>
      <c r="V114" s="3" t="s">
        <v>366</v>
      </c>
      <c r="W114" s="3" t="s">
        <v>34</v>
      </c>
      <c r="X114">
        <v>0</v>
      </c>
      <c r="Y114">
        <v>1</v>
      </c>
      <c r="Z114">
        <v>0</v>
      </c>
      <c r="AA114" s="3" t="s">
        <v>34</v>
      </c>
      <c r="AB114" s="3" t="s">
        <v>390</v>
      </c>
      <c r="AC114" s="3" t="s">
        <v>35</v>
      </c>
      <c r="AD114" s="3" t="s">
        <v>391</v>
      </c>
      <c r="AE114">
        <v>0</v>
      </c>
      <c r="AF114">
        <v>17.448654999999999</v>
      </c>
      <c r="AG114">
        <v>22</v>
      </c>
    </row>
    <row r="115" spans="1:33" x14ac:dyDescent="0.25">
      <c r="A115" s="3" t="s">
        <v>903</v>
      </c>
      <c r="B115">
        <v>198.9</v>
      </c>
      <c r="C115" s="3" t="s">
        <v>360</v>
      </c>
      <c r="D115" s="3" t="s">
        <v>360</v>
      </c>
      <c r="E115">
        <v>0.44</v>
      </c>
      <c r="F115">
        <v>0.9</v>
      </c>
      <c r="G115">
        <v>6</v>
      </c>
      <c r="H115" s="3" t="s">
        <v>524</v>
      </c>
      <c r="I115">
        <v>9999</v>
      </c>
      <c r="J115" s="3" t="s">
        <v>34</v>
      </c>
      <c r="O115" s="3" t="s">
        <v>149</v>
      </c>
      <c r="P115" s="3" t="s">
        <v>403</v>
      </c>
      <c r="Q115">
        <v>53238600</v>
      </c>
      <c r="R115">
        <v>10589157376</v>
      </c>
      <c r="S115">
        <v>12408.199409000001</v>
      </c>
      <c r="T115" s="3" t="s">
        <v>531</v>
      </c>
      <c r="U115" s="3" t="s">
        <v>904</v>
      </c>
      <c r="V115" s="3" t="s">
        <v>366</v>
      </c>
      <c r="W115" s="3" t="s">
        <v>905</v>
      </c>
      <c r="X115">
        <v>2330444.15</v>
      </c>
      <c r="Y115">
        <v>0.85340000000000005</v>
      </c>
      <c r="Z115">
        <v>0</v>
      </c>
      <c r="AA115" s="3" t="s">
        <v>34</v>
      </c>
      <c r="AB115" s="3" t="s">
        <v>34</v>
      </c>
      <c r="AC115" s="3" t="s">
        <v>906</v>
      </c>
      <c r="AD115" s="3" t="s">
        <v>907</v>
      </c>
      <c r="AE115">
        <v>0</v>
      </c>
    </row>
    <row r="116" spans="1:33" x14ac:dyDescent="0.25">
      <c r="A116" s="3" t="s">
        <v>908</v>
      </c>
      <c r="B116">
        <v>243.89</v>
      </c>
      <c r="C116" s="3" t="s">
        <v>360</v>
      </c>
      <c r="D116" s="3" t="s">
        <v>360</v>
      </c>
      <c r="E116">
        <v>0.96</v>
      </c>
      <c r="F116">
        <v>1</v>
      </c>
      <c r="G116">
        <v>3</v>
      </c>
      <c r="H116" s="3" t="s">
        <v>371</v>
      </c>
      <c r="I116">
        <v>0</v>
      </c>
      <c r="J116" s="3" t="s">
        <v>909</v>
      </c>
      <c r="K116">
        <v>270</v>
      </c>
      <c r="L116">
        <v>2.4</v>
      </c>
      <c r="M116">
        <v>3.5555999999999997E-2</v>
      </c>
      <c r="N116">
        <v>0.107056</v>
      </c>
      <c r="O116" s="3" t="s">
        <v>910</v>
      </c>
      <c r="P116" s="3" t="s">
        <v>105</v>
      </c>
      <c r="Q116">
        <v>58114600</v>
      </c>
      <c r="R116">
        <v>14173570048</v>
      </c>
      <c r="S116">
        <v>14173.570048</v>
      </c>
      <c r="T116" s="3" t="s">
        <v>382</v>
      </c>
      <c r="U116" s="3" t="s">
        <v>911</v>
      </c>
      <c r="V116" s="3" t="s">
        <v>366</v>
      </c>
      <c r="W116" s="3" t="s">
        <v>34</v>
      </c>
      <c r="X116">
        <v>0</v>
      </c>
      <c r="Y116">
        <v>1</v>
      </c>
      <c r="Z116">
        <v>0</v>
      </c>
      <c r="AA116" s="3" t="s">
        <v>34</v>
      </c>
      <c r="AB116" s="3" t="s">
        <v>115</v>
      </c>
      <c r="AC116" s="3" t="s">
        <v>35</v>
      </c>
      <c r="AD116" s="3" t="s">
        <v>391</v>
      </c>
      <c r="AE116">
        <v>0</v>
      </c>
      <c r="AF116">
        <v>19.443292</v>
      </c>
      <c r="AG116">
        <v>20</v>
      </c>
    </row>
    <row r="117" spans="1:33" x14ac:dyDescent="0.25">
      <c r="A117" s="3" t="s">
        <v>912</v>
      </c>
      <c r="B117">
        <v>5.58</v>
      </c>
      <c r="C117" s="3" t="s">
        <v>360</v>
      </c>
      <c r="D117" s="3" t="s">
        <v>360</v>
      </c>
      <c r="E117">
        <v>0.24</v>
      </c>
      <c r="F117">
        <v>0.12</v>
      </c>
      <c r="G117">
        <v>7</v>
      </c>
      <c r="H117" s="3" t="s">
        <v>454</v>
      </c>
      <c r="I117">
        <v>0</v>
      </c>
      <c r="J117" s="3" t="s">
        <v>913</v>
      </c>
      <c r="K117">
        <v>7</v>
      </c>
      <c r="L117">
        <v>0.09</v>
      </c>
      <c r="M117">
        <v>5.1429000000000002E-2</v>
      </c>
      <c r="N117">
        <v>0.25447999999999998</v>
      </c>
      <c r="O117" s="3" t="s">
        <v>914</v>
      </c>
      <c r="P117" s="3" t="s">
        <v>105</v>
      </c>
      <c r="Q117">
        <v>2147483647</v>
      </c>
      <c r="R117">
        <v>31585757184</v>
      </c>
      <c r="S117">
        <v>31585.757183999998</v>
      </c>
      <c r="T117" s="3" t="s">
        <v>399</v>
      </c>
      <c r="U117" s="3" t="s">
        <v>915</v>
      </c>
      <c r="V117" s="3" t="s">
        <v>366</v>
      </c>
      <c r="W117" s="3" t="s">
        <v>34</v>
      </c>
      <c r="X117">
        <v>0</v>
      </c>
      <c r="Y117">
        <v>1</v>
      </c>
      <c r="Z117">
        <v>0</v>
      </c>
      <c r="AA117" s="3" t="s">
        <v>34</v>
      </c>
      <c r="AB117" s="3" t="s">
        <v>115</v>
      </c>
      <c r="AC117" s="3" t="s">
        <v>35</v>
      </c>
      <c r="AD117" s="3" t="s">
        <v>391</v>
      </c>
      <c r="AE117">
        <v>0</v>
      </c>
    </row>
    <row r="118" spans="1:33" x14ac:dyDescent="0.25">
      <c r="A118" s="3" t="s">
        <v>916</v>
      </c>
      <c r="B118">
        <v>81.34</v>
      </c>
      <c r="C118" s="3" t="s">
        <v>360</v>
      </c>
      <c r="D118" s="3" t="s">
        <v>360</v>
      </c>
      <c r="E118">
        <v>0.08</v>
      </c>
      <c r="F118">
        <v>0.75</v>
      </c>
      <c r="G118">
        <v>8</v>
      </c>
      <c r="H118" s="3" t="s">
        <v>529</v>
      </c>
      <c r="I118">
        <v>0</v>
      </c>
      <c r="J118" s="3" t="s">
        <v>917</v>
      </c>
      <c r="K118">
        <v>105</v>
      </c>
      <c r="L118">
        <v>1.1000000000000001</v>
      </c>
      <c r="M118">
        <v>4.1904999999999998E-2</v>
      </c>
      <c r="N118">
        <v>0.29087800000000003</v>
      </c>
      <c r="O118" s="3" t="s">
        <v>918</v>
      </c>
      <c r="P118" s="3" t="s">
        <v>105</v>
      </c>
      <c r="Q118">
        <v>670980992</v>
      </c>
      <c r="R118">
        <v>54640467968</v>
      </c>
      <c r="S118">
        <v>54640.467967999997</v>
      </c>
      <c r="T118" s="3" t="s">
        <v>382</v>
      </c>
      <c r="U118" s="3" t="s">
        <v>919</v>
      </c>
      <c r="V118" s="3" t="s">
        <v>366</v>
      </c>
      <c r="W118" s="3" t="s">
        <v>34</v>
      </c>
      <c r="X118">
        <v>0</v>
      </c>
      <c r="Y118">
        <v>1</v>
      </c>
      <c r="Z118">
        <v>0</v>
      </c>
      <c r="AA118" s="3" t="s">
        <v>34</v>
      </c>
      <c r="AB118" s="3" t="s">
        <v>115</v>
      </c>
      <c r="AC118" s="3" t="s">
        <v>35</v>
      </c>
      <c r="AD118" s="3" t="s">
        <v>391</v>
      </c>
      <c r="AE118">
        <v>0</v>
      </c>
      <c r="AF118">
        <v>18.004649000000001</v>
      </c>
      <c r="AG118">
        <v>21</v>
      </c>
    </row>
    <row r="119" spans="1:33" x14ac:dyDescent="0.25">
      <c r="A119" s="3" t="s">
        <v>920</v>
      </c>
      <c r="B119">
        <v>220.81</v>
      </c>
      <c r="C119" s="3" t="s">
        <v>360</v>
      </c>
      <c r="D119" s="3" t="s">
        <v>360</v>
      </c>
      <c r="E119">
        <v>0.84</v>
      </c>
      <c r="F119">
        <v>0.4</v>
      </c>
      <c r="G119">
        <v>2</v>
      </c>
      <c r="H119" s="3" t="s">
        <v>415</v>
      </c>
      <c r="I119">
        <v>0</v>
      </c>
      <c r="J119" s="3" t="s">
        <v>921</v>
      </c>
      <c r="K119">
        <v>267.5</v>
      </c>
      <c r="L119">
        <v>2.77</v>
      </c>
      <c r="M119">
        <v>4.1420999999999999E-2</v>
      </c>
      <c r="N119">
        <v>0.211449</v>
      </c>
      <c r="O119" s="3" t="s">
        <v>922</v>
      </c>
      <c r="P119" s="3" t="s">
        <v>105</v>
      </c>
      <c r="Q119">
        <v>2147483647</v>
      </c>
      <c r="R119">
        <v>550258540544</v>
      </c>
      <c r="S119">
        <v>550258.54054399999</v>
      </c>
      <c r="T119" s="3" t="s">
        <v>382</v>
      </c>
      <c r="U119" s="3" t="s">
        <v>923</v>
      </c>
      <c r="V119" s="3" t="s">
        <v>366</v>
      </c>
      <c r="W119" s="3" t="s">
        <v>34</v>
      </c>
      <c r="X119">
        <v>0</v>
      </c>
      <c r="Y119">
        <v>1</v>
      </c>
      <c r="Z119">
        <v>0</v>
      </c>
      <c r="AA119" s="3" t="s">
        <v>34</v>
      </c>
      <c r="AB119" s="3" t="s">
        <v>115</v>
      </c>
      <c r="AC119" s="3" t="s">
        <v>35</v>
      </c>
      <c r="AD119" s="3" t="s">
        <v>391</v>
      </c>
      <c r="AE119">
        <v>0</v>
      </c>
      <c r="AF119">
        <v>19.799607999999999</v>
      </c>
      <c r="AG119">
        <v>25</v>
      </c>
    </row>
    <row r="120" spans="1:33" x14ac:dyDescent="0.25">
      <c r="A120" s="3" t="s">
        <v>924</v>
      </c>
      <c r="B120">
        <v>13.72</v>
      </c>
      <c r="C120" s="3" t="s">
        <v>360</v>
      </c>
      <c r="D120" s="3" t="s">
        <v>360</v>
      </c>
      <c r="E120">
        <v>0</v>
      </c>
      <c r="F120">
        <v>0.01</v>
      </c>
      <c r="G120">
        <v>7</v>
      </c>
      <c r="H120" s="3" t="s">
        <v>454</v>
      </c>
      <c r="I120">
        <v>0</v>
      </c>
      <c r="J120" s="3" t="s">
        <v>925</v>
      </c>
      <c r="K120">
        <v>17</v>
      </c>
      <c r="L120">
        <v>0.25</v>
      </c>
      <c r="M120">
        <v>4.4117999999999997E-2</v>
      </c>
      <c r="N120">
        <v>0.239067</v>
      </c>
      <c r="O120" s="3" t="s">
        <v>926</v>
      </c>
      <c r="P120" s="3" t="s">
        <v>105</v>
      </c>
      <c r="Q120">
        <v>157284000</v>
      </c>
      <c r="R120">
        <v>2157936640</v>
      </c>
      <c r="S120">
        <v>2157.9366399999999</v>
      </c>
      <c r="T120" s="3" t="s">
        <v>399</v>
      </c>
      <c r="U120" s="3" t="s">
        <v>927</v>
      </c>
      <c r="V120" s="3" t="s">
        <v>406</v>
      </c>
      <c r="W120" s="3" t="s">
        <v>34</v>
      </c>
      <c r="X120">
        <v>0</v>
      </c>
      <c r="Y120">
        <v>1</v>
      </c>
      <c r="Z120">
        <v>0</v>
      </c>
      <c r="AA120" s="3" t="s">
        <v>34</v>
      </c>
      <c r="AB120" s="3" t="s">
        <v>115</v>
      </c>
      <c r="AC120" s="3" t="s">
        <v>35</v>
      </c>
      <c r="AD120" s="3" t="s">
        <v>391</v>
      </c>
      <c r="AE120">
        <v>0</v>
      </c>
      <c r="AF120">
        <v>12.936344999999999</v>
      </c>
      <c r="AG120">
        <v>20</v>
      </c>
    </row>
    <row r="121" spans="1:33" x14ac:dyDescent="0.25">
      <c r="A121" s="3" t="s">
        <v>928</v>
      </c>
      <c r="B121">
        <v>84.86</v>
      </c>
      <c r="C121" s="3" t="s">
        <v>360</v>
      </c>
      <c r="D121" s="3" t="s">
        <v>360</v>
      </c>
      <c r="E121">
        <v>0.28000000000000003</v>
      </c>
      <c r="F121">
        <v>0.14000000000000001</v>
      </c>
      <c r="G121">
        <v>4</v>
      </c>
      <c r="H121" s="3" t="s">
        <v>379</v>
      </c>
      <c r="I121">
        <v>0</v>
      </c>
      <c r="J121" s="3" t="s">
        <v>929</v>
      </c>
      <c r="K121">
        <v>95</v>
      </c>
      <c r="L121">
        <v>0.65</v>
      </c>
      <c r="M121">
        <v>2.7368E-2</v>
      </c>
      <c r="N121">
        <v>0.119491</v>
      </c>
      <c r="O121" s="3" t="s">
        <v>930</v>
      </c>
      <c r="P121" s="3" t="s">
        <v>105</v>
      </c>
      <c r="Q121">
        <v>426779008</v>
      </c>
      <c r="R121">
        <v>36216467456</v>
      </c>
      <c r="S121">
        <v>36216.467455999998</v>
      </c>
      <c r="T121" s="3" t="s">
        <v>399</v>
      </c>
      <c r="U121" s="3" t="s">
        <v>931</v>
      </c>
      <c r="V121" s="3" t="s">
        <v>366</v>
      </c>
      <c r="W121" s="3" t="s">
        <v>34</v>
      </c>
      <c r="X121">
        <v>0</v>
      </c>
      <c r="Y121">
        <v>1</v>
      </c>
      <c r="Z121">
        <v>0</v>
      </c>
      <c r="AA121" s="3" t="s">
        <v>34</v>
      </c>
      <c r="AB121" s="3" t="s">
        <v>115</v>
      </c>
      <c r="AC121" s="3" t="s">
        <v>35</v>
      </c>
      <c r="AD121" s="3" t="s">
        <v>391</v>
      </c>
      <c r="AE121">
        <v>0</v>
      </c>
      <c r="AF121">
        <v>27.551023000000001</v>
      </c>
      <c r="AG121">
        <v>2</v>
      </c>
    </row>
    <row r="122" spans="1:33" x14ac:dyDescent="0.25">
      <c r="A122" s="3" t="s">
        <v>932</v>
      </c>
      <c r="B122">
        <v>490.47</v>
      </c>
      <c r="C122" s="3" t="s">
        <v>360</v>
      </c>
      <c r="D122" s="3" t="s">
        <v>360</v>
      </c>
      <c r="E122">
        <v>1</v>
      </c>
      <c r="F122">
        <v>1</v>
      </c>
      <c r="G122">
        <v>3</v>
      </c>
      <c r="H122" s="3" t="s">
        <v>371</v>
      </c>
      <c r="I122">
        <v>0</v>
      </c>
      <c r="J122" s="3" t="s">
        <v>933</v>
      </c>
      <c r="K122">
        <v>560</v>
      </c>
      <c r="L122">
        <v>5.9</v>
      </c>
      <c r="M122">
        <v>4.2143E-2</v>
      </c>
      <c r="N122">
        <v>0.141762</v>
      </c>
      <c r="O122" s="3" t="s">
        <v>934</v>
      </c>
      <c r="P122" s="3" t="s">
        <v>105</v>
      </c>
      <c r="Q122">
        <v>97406096</v>
      </c>
      <c r="R122">
        <v>47774769152</v>
      </c>
      <c r="S122">
        <v>47774.769152000001</v>
      </c>
      <c r="T122" s="3" t="s">
        <v>399</v>
      </c>
      <c r="U122" s="3" t="s">
        <v>935</v>
      </c>
      <c r="V122" s="3" t="s">
        <v>366</v>
      </c>
      <c r="W122" s="3" t="s">
        <v>34</v>
      </c>
      <c r="X122">
        <v>0</v>
      </c>
      <c r="Y122">
        <v>1</v>
      </c>
      <c r="Z122">
        <v>0</v>
      </c>
      <c r="AA122" s="3" t="s">
        <v>34</v>
      </c>
      <c r="AB122" s="3" t="s">
        <v>115</v>
      </c>
      <c r="AC122" s="3" t="s">
        <v>35</v>
      </c>
      <c r="AD122" s="3" t="s">
        <v>391</v>
      </c>
      <c r="AE122">
        <v>0</v>
      </c>
      <c r="AF122">
        <v>18.809999999999999</v>
      </c>
      <c r="AG122">
        <v>22</v>
      </c>
    </row>
    <row r="123" spans="1:33" x14ac:dyDescent="0.25">
      <c r="A123" s="3" t="s">
        <v>936</v>
      </c>
      <c r="B123">
        <v>109.98</v>
      </c>
      <c r="C123" s="3" t="s">
        <v>360</v>
      </c>
      <c r="D123" s="3" t="s">
        <v>360</v>
      </c>
      <c r="E123">
        <v>0.16</v>
      </c>
      <c r="F123">
        <v>0.1</v>
      </c>
      <c r="G123">
        <v>7</v>
      </c>
      <c r="H123" s="3" t="s">
        <v>454</v>
      </c>
      <c r="I123">
        <v>0</v>
      </c>
      <c r="J123" s="3" t="s">
        <v>937</v>
      </c>
      <c r="K123">
        <v>120</v>
      </c>
      <c r="L123">
        <v>0.75</v>
      </c>
      <c r="M123">
        <v>2.5000000000000001E-2</v>
      </c>
      <c r="N123">
        <v>9.1106999999999994E-2</v>
      </c>
      <c r="O123" s="3" t="s">
        <v>938</v>
      </c>
      <c r="P123" s="3" t="s">
        <v>105</v>
      </c>
      <c r="Q123">
        <v>360620000</v>
      </c>
      <c r="R123">
        <v>39660990464</v>
      </c>
      <c r="S123">
        <v>39660.990464000002</v>
      </c>
      <c r="T123" s="3" t="s">
        <v>382</v>
      </c>
      <c r="U123" s="3" t="s">
        <v>939</v>
      </c>
      <c r="V123" s="3" t="s">
        <v>366</v>
      </c>
      <c r="W123" s="3" t="s">
        <v>34</v>
      </c>
      <c r="X123">
        <v>0</v>
      </c>
      <c r="Y123">
        <v>1</v>
      </c>
      <c r="Z123">
        <v>0</v>
      </c>
      <c r="AA123" s="3" t="s">
        <v>34</v>
      </c>
      <c r="AB123" s="3" t="s">
        <v>115</v>
      </c>
      <c r="AC123" s="3" t="s">
        <v>35</v>
      </c>
      <c r="AD123" s="3" t="s">
        <v>391</v>
      </c>
      <c r="AE123">
        <v>0</v>
      </c>
      <c r="AF123">
        <v>16.234020000000001</v>
      </c>
      <c r="AG123">
        <v>25</v>
      </c>
    </row>
    <row r="124" spans="1:33" x14ac:dyDescent="0.25">
      <c r="A124" s="3" t="s">
        <v>127</v>
      </c>
      <c r="B124">
        <v>94.55</v>
      </c>
      <c r="C124" s="3" t="s">
        <v>360</v>
      </c>
      <c r="D124" s="3" t="s">
        <v>360</v>
      </c>
      <c r="E124">
        <v>0.6</v>
      </c>
      <c r="F124">
        <v>0.08</v>
      </c>
      <c r="G124">
        <v>4</v>
      </c>
      <c r="H124" s="3" t="s">
        <v>379</v>
      </c>
      <c r="I124">
        <v>5253</v>
      </c>
      <c r="J124" s="3" t="s">
        <v>940</v>
      </c>
      <c r="K124">
        <v>135</v>
      </c>
      <c r="L124">
        <v>1.8</v>
      </c>
      <c r="M124">
        <v>0.04</v>
      </c>
      <c r="N124">
        <v>0.42781599999999997</v>
      </c>
      <c r="O124" s="3" t="s">
        <v>941</v>
      </c>
      <c r="P124" s="3" t="s">
        <v>105</v>
      </c>
      <c r="Q124">
        <v>1253289984</v>
      </c>
      <c r="R124">
        <v>118498574336</v>
      </c>
      <c r="S124">
        <v>118498.57433600001</v>
      </c>
      <c r="T124" s="3" t="s">
        <v>382</v>
      </c>
      <c r="U124" s="3" t="s">
        <v>942</v>
      </c>
      <c r="V124" s="3" t="s">
        <v>366</v>
      </c>
      <c r="W124" s="3" t="s">
        <v>943</v>
      </c>
      <c r="X124">
        <v>496671.17</v>
      </c>
      <c r="Y124">
        <v>1</v>
      </c>
      <c r="Z124">
        <v>0</v>
      </c>
      <c r="AA124" s="3" t="s">
        <v>34</v>
      </c>
      <c r="AB124" s="3" t="s">
        <v>390</v>
      </c>
      <c r="AC124" s="3" t="s">
        <v>944</v>
      </c>
      <c r="AD124" s="3" t="s">
        <v>945</v>
      </c>
      <c r="AE124">
        <v>0</v>
      </c>
    </row>
    <row r="125" spans="1:33" x14ac:dyDescent="0.25">
      <c r="A125" s="3" t="s">
        <v>68</v>
      </c>
      <c r="B125">
        <v>154.19999999999999</v>
      </c>
      <c r="C125" s="3" t="s">
        <v>360</v>
      </c>
      <c r="D125" s="3" t="s">
        <v>360</v>
      </c>
      <c r="E125">
        <v>0.25</v>
      </c>
      <c r="F125">
        <v>0</v>
      </c>
      <c r="G125">
        <v>7</v>
      </c>
      <c r="H125" s="3" t="s">
        <v>454</v>
      </c>
      <c r="I125">
        <v>786</v>
      </c>
      <c r="J125" s="3" t="s">
        <v>946</v>
      </c>
      <c r="K125">
        <v>160</v>
      </c>
      <c r="L125">
        <v>1.99</v>
      </c>
      <c r="M125">
        <v>4.9750000000000003E-2</v>
      </c>
      <c r="N125">
        <v>3.7613000000000001E-2</v>
      </c>
      <c r="O125" s="3" t="s">
        <v>947</v>
      </c>
      <c r="P125" s="3" t="s">
        <v>105</v>
      </c>
      <c r="Q125">
        <v>1382109952</v>
      </c>
      <c r="R125">
        <v>213121351680</v>
      </c>
      <c r="S125">
        <v>213121.35167999999</v>
      </c>
      <c r="T125" s="3" t="s">
        <v>382</v>
      </c>
      <c r="U125" s="3" t="s">
        <v>948</v>
      </c>
      <c r="V125" s="3" t="s">
        <v>366</v>
      </c>
      <c r="W125" s="3" t="s">
        <v>949</v>
      </c>
      <c r="X125">
        <v>121201.2</v>
      </c>
      <c r="Y125">
        <v>1</v>
      </c>
      <c r="Z125">
        <v>-700</v>
      </c>
      <c r="AA125" s="3" t="s">
        <v>950</v>
      </c>
      <c r="AB125" s="3" t="s">
        <v>115</v>
      </c>
      <c r="AC125" s="3" t="s">
        <v>951</v>
      </c>
      <c r="AD125" s="3" t="s">
        <v>952</v>
      </c>
      <c r="AE125">
        <v>0</v>
      </c>
      <c r="AF125">
        <v>18.106659000000001</v>
      </c>
      <c r="AG125">
        <v>34</v>
      </c>
    </row>
    <row r="126" spans="1:33" x14ac:dyDescent="0.25">
      <c r="A126" s="3" t="s">
        <v>953</v>
      </c>
      <c r="B126">
        <v>0</v>
      </c>
      <c r="C126" s="3" t="s">
        <v>954</v>
      </c>
      <c r="D126" s="3" t="s">
        <v>954</v>
      </c>
      <c r="E126">
        <v>0</v>
      </c>
      <c r="F126">
        <v>1</v>
      </c>
      <c r="G126">
        <v>9</v>
      </c>
      <c r="H126" s="3" t="s">
        <v>428</v>
      </c>
      <c r="I126">
        <v>0</v>
      </c>
      <c r="J126" s="3" t="s">
        <v>34</v>
      </c>
      <c r="O126" s="3" t="s">
        <v>34</v>
      </c>
      <c r="P126" s="3" t="s">
        <v>34</v>
      </c>
      <c r="T126" s="3" t="s">
        <v>34</v>
      </c>
      <c r="U126" s="3" t="s">
        <v>34</v>
      </c>
      <c r="V126" s="3" t="s">
        <v>34</v>
      </c>
      <c r="W126" s="3" t="s">
        <v>34</v>
      </c>
      <c r="X126">
        <v>0</v>
      </c>
      <c r="Y126">
        <v>1</v>
      </c>
      <c r="Z126">
        <v>0</v>
      </c>
      <c r="AA126" s="3" t="s">
        <v>34</v>
      </c>
      <c r="AB126" s="3" t="s">
        <v>34</v>
      </c>
      <c r="AC126" s="3" t="s">
        <v>35</v>
      </c>
      <c r="AD126" s="3" t="s">
        <v>391</v>
      </c>
      <c r="AE126">
        <v>0</v>
      </c>
      <c r="AF126">
        <v>18.764845999999999</v>
      </c>
      <c r="AG126">
        <v>19</v>
      </c>
    </row>
    <row r="127" spans="1:33" x14ac:dyDescent="0.25">
      <c r="A127" s="3" t="s">
        <v>955</v>
      </c>
      <c r="B127">
        <v>287.83999999999997</v>
      </c>
      <c r="C127" s="3" t="s">
        <v>360</v>
      </c>
      <c r="D127" s="3" t="s">
        <v>360</v>
      </c>
      <c r="E127">
        <v>0.27</v>
      </c>
      <c r="F127">
        <v>0.7</v>
      </c>
      <c r="G127">
        <v>5</v>
      </c>
      <c r="H127" s="3" t="s">
        <v>361</v>
      </c>
      <c r="I127">
        <v>0</v>
      </c>
      <c r="J127" s="3" t="s">
        <v>956</v>
      </c>
      <c r="K127">
        <v>380</v>
      </c>
      <c r="L127">
        <v>3.28</v>
      </c>
      <c r="M127">
        <v>3.4526000000000001E-2</v>
      </c>
      <c r="N127">
        <v>0.32017800000000002</v>
      </c>
      <c r="O127" s="3" t="s">
        <v>957</v>
      </c>
      <c r="P127" s="3" t="s">
        <v>105</v>
      </c>
      <c r="Q127">
        <v>129101000</v>
      </c>
      <c r="R127">
        <v>37160431616</v>
      </c>
      <c r="S127">
        <v>37160.431616000002</v>
      </c>
      <c r="T127" s="3" t="s">
        <v>399</v>
      </c>
      <c r="U127" s="3" t="s">
        <v>958</v>
      </c>
      <c r="V127" s="3" t="s">
        <v>366</v>
      </c>
      <c r="W127" s="3" t="s">
        <v>34</v>
      </c>
      <c r="X127">
        <v>0</v>
      </c>
      <c r="Y127">
        <v>1</v>
      </c>
      <c r="Z127">
        <v>0</v>
      </c>
      <c r="AA127" s="3" t="s">
        <v>34</v>
      </c>
      <c r="AB127" s="3" t="s">
        <v>122</v>
      </c>
      <c r="AC127" s="3" t="s">
        <v>35</v>
      </c>
      <c r="AD127" s="3" t="s">
        <v>391</v>
      </c>
      <c r="AE127">
        <v>0</v>
      </c>
      <c r="AF127">
        <v>19.239450000000001</v>
      </c>
      <c r="AG127">
        <v>21</v>
      </c>
    </row>
    <row r="128" spans="1:33" x14ac:dyDescent="0.25">
      <c r="A128" s="3" t="s">
        <v>108</v>
      </c>
      <c r="B128">
        <v>41.58</v>
      </c>
      <c r="C128" s="3" t="s">
        <v>360</v>
      </c>
      <c r="D128" s="3" t="s">
        <v>360</v>
      </c>
      <c r="E128">
        <v>1</v>
      </c>
      <c r="F128">
        <v>0.15</v>
      </c>
      <c r="G128">
        <v>1</v>
      </c>
      <c r="H128" s="3" t="s">
        <v>402</v>
      </c>
      <c r="I128">
        <v>44935</v>
      </c>
      <c r="J128" s="3" t="s">
        <v>959</v>
      </c>
      <c r="K128">
        <v>60</v>
      </c>
      <c r="L128">
        <v>0.46</v>
      </c>
      <c r="M128">
        <v>2.3E-2</v>
      </c>
      <c r="N128">
        <v>0.44300099999999998</v>
      </c>
      <c r="O128" s="3" t="s">
        <v>960</v>
      </c>
      <c r="P128" s="3" t="s">
        <v>105</v>
      </c>
      <c r="Q128">
        <v>48256400</v>
      </c>
      <c r="R128">
        <v>2006501248</v>
      </c>
      <c r="S128">
        <v>2006.501248</v>
      </c>
      <c r="T128" s="3" t="s">
        <v>382</v>
      </c>
      <c r="U128" s="3" t="s">
        <v>961</v>
      </c>
      <c r="V128" s="3" t="s">
        <v>406</v>
      </c>
      <c r="W128" s="3" t="s">
        <v>962</v>
      </c>
      <c r="X128">
        <v>1868397.39</v>
      </c>
      <c r="Y128">
        <v>1</v>
      </c>
      <c r="Z128">
        <v>0</v>
      </c>
      <c r="AA128" s="3" t="s">
        <v>34</v>
      </c>
      <c r="AB128" s="3" t="s">
        <v>115</v>
      </c>
      <c r="AC128" s="3" t="s">
        <v>35</v>
      </c>
      <c r="AD128" s="3" t="s">
        <v>391</v>
      </c>
      <c r="AE128">
        <v>0</v>
      </c>
      <c r="AF128">
        <v>19.846592999999999</v>
      </c>
      <c r="AG128">
        <v>18</v>
      </c>
    </row>
    <row r="129" spans="1:33" x14ac:dyDescent="0.25">
      <c r="A129" s="3" t="s">
        <v>963</v>
      </c>
      <c r="B129">
        <v>162.03</v>
      </c>
      <c r="C129" s="3" t="s">
        <v>360</v>
      </c>
      <c r="D129" s="3" t="s">
        <v>360</v>
      </c>
      <c r="E129">
        <v>1</v>
      </c>
      <c r="F129">
        <v>0.15</v>
      </c>
      <c r="G129">
        <v>1</v>
      </c>
      <c r="H129" s="3" t="s">
        <v>402</v>
      </c>
      <c r="I129">
        <v>0</v>
      </c>
      <c r="J129" s="3" t="s">
        <v>964</v>
      </c>
      <c r="K129">
        <v>190</v>
      </c>
      <c r="L129">
        <v>1.6</v>
      </c>
      <c r="M129">
        <v>3.3683999999999999E-2</v>
      </c>
      <c r="N129">
        <v>0.172622</v>
      </c>
      <c r="O129" s="3" t="s">
        <v>965</v>
      </c>
      <c r="P129" s="3" t="s">
        <v>105</v>
      </c>
      <c r="Q129">
        <v>243959008</v>
      </c>
      <c r="R129">
        <v>39528677376</v>
      </c>
      <c r="S129">
        <v>39528.677376</v>
      </c>
      <c r="T129" s="3" t="s">
        <v>399</v>
      </c>
      <c r="U129" s="3" t="s">
        <v>966</v>
      </c>
      <c r="V129" s="3" t="s">
        <v>366</v>
      </c>
      <c r="W129" s="3" t="s">
        <v>34</v>
      </c>
      <c r="X129">
        <v>0</v>
      </c>
      <c r="Y129">
        <v>1</v>
      </c>
      <c r="Z129">
        <v>0</v>
      </c>
      <c r="AA129" s="3" t="s">
        <v>34</v>
      </c>
      <c r="AB129" s="3" t="s">
        <v>115</v>
      </c>
      <c r="AC129" s="3" t="s">
        <v>35</v>
      </c>
      <c r="AD129" s="3" t="s">
        <v>391</v>
      </c>
      <c r="AE129">
        <v>0</v>
      </c>
      <c r="AF129">
        <v>16.848030999999999</v>
      </c>
      <c r="AG129">
        <v>26</v>
      </c>
    </row>
    <row r="130" spans="1:33" x14ac:dyDescent="0.25">
      <c r="A130" s="3" t="s">
        <v>967</v>
      </c>
      <c r="B130">
        <v>278.11</v>
      </c>
      <c r="C130" s="3" t="s">
        <v>360</v>
      </c>
      <c r="D130" s="3" t="s">
        <v>360</v>
      </c>
      <c r="E130">
        <v>0.23</v>
      </c>
      <c r="F130">
        <v>0</v>
      </c>
      <c r="G130">
        <v>7</v>
      </c>
      <c r="H130" s="3" t="s">
        <v>454</v>
      </c>
      <c r="I130">
        <v>0</v>
      </c>
      <c r="J130" s="3" t="s">
        <v>968</v>
      </c>
      <c r="K130">
        <v>320</v>
      </c>
      <c r="L130">
        <v>2.62</v>
      </c>
      <c r="M130">
        <v>3.2750000000000001E-2</v>
      </c>
      <c r="N130">
        <v>0.15062400000000001</v>
      </c>
      <c r="O130" s="3" t="s">
        <v>969</v>
      </c>
      <c r="P130" s="3" t="s">
        <v>105</v>
      </c>
      <c r="Q130">
        <v>1175030016</v>
      </c>
      <c r="R130">
        <v>326787596288</v>
      </c>
      <c r="S130">
        <v>326787.596288</v>
      </c>
      <c r="T130" s="3" t="s">
        <v>382</v>
      </c>
      <c r="U130" s="3" t="s">
        <v>970</v>
      </c>
      <c r="V130" s="3" t="s">
        <v>366</v>
      </c>
      <c r="W130" s="3" t="s">
        <v>34</v>
      </c>
      <c r="X130">
        <v>0</v>
      </c>
      <c r="Y130">
        <v>1</v>
      </c>
      <c r="Z130">
        <v>0</v>
      </c>
      <c r="AA130" s="3" t="s">
        <v>34</v>
      </c>
      <c r="AB130" s="3" t="s">
        <v>115</v>
      </c>
      <c r="AC130" s="3" t="s">
        <v>35</v>
      </c>
      <c r="AD130" s="3" t="s">
        <v>391</v>
      </c>
      <c r="AE130">
        <v>0</v>
      </c>
      <c r="AF130">
        <v>19.130344999999998</v>
      </c>
      <c r="AG130">
        <v>25</v>
      </c>
    </row>
    <row r="131" spans="1:33" x14ac:dyDescent="0.25">
      <c r="A131" s="3" t="s">
        <v>971</v>
      </c>
      <c r="B131">
        <v>217.46</v>
      </c>
      <c r="C131" s="3" t="s">
        <v>360</v>
      </c>
      <c r="D131" s="3" t="s">
        <v>360</v>
      </c>
      <c r="E131">
        <v>0.61</v>
      </c>
      <c r="F131">
        <v>0.14000000000000001</v>
      </c>
      <c r="G131">
        <v>4</v>
      </c>
      <c r="H131" s="3" t="s">
        <v>379</v>
      </c>
      <c r="I131">
        <v>0</v>
      </c>
      <c r="J131" s="3" t="s">
        <v>972</v>
      </c>
      <c r="K131">
        <v>240</v>
      </c>
      <c r="L131">
        <v>2.7</v>
      </c>
      <c r="M131">
        <v>4.4999999999999998E-2</v>
      </c>
      <c r="N131">
        <v>0.10365099999999999</v>
      </c>
      <c r="O131" s="3" t="s">
        <v>973</v>
      </c>
      <c r="P131" s="3" t="s">
        <v>105</v>
      </c>
      <c r="Q131">
        <v>184204992</v>
      </c>
      <c r="R131">
        <v>53404045312</v>
      </c>
      <c r="S131">
        <v>53404.045312000002</v>
      </c>
      <c r="T131" s="3" t="s">
        <v>399</v>
      </c>
      <c r="U131" s="3" t="s">
        <v>974</v>
      </c>
      <c r="V131" s="3" t="s">
        <v>366</v>
      </c>
      <c r="W131" s="3" t="s">
        <v>34</v>
      </c>
      <c r="X131">
        <v>0</v>
      </c>
      <c r="Y131">
        <v>1</v>
      </c>
      <c r="Z131">
        <v>0</v>
      </c>
      <c r="AA131" s="3" t="s">
        <v>34</v>
      </c>
      <c r="AB131" s="3" t="s">
        <v>115</v>
      </c>
      <c r="AC131" s="3" t="s">
        <v>35</v>
      </c>
      <c r="AD131" s="3" t="s">
        <v>391</v>
      </c>
      <c r="AE131">
        <v>0</v>
      </c>
      <c r="AF131">
        <v>19.482710999999998</v>
      </c>
      <c r="AG131">
        <v>24</v>
      </c>
    </row>
    <row r="132" spans="1:33" x14ac:dyDescent="0.25">
      <c r="A132" s="3" t="s">
        <v>975</v>
      </c>
      <c r="B132">
        <v>25.38</v>
      </c>
      <c r="C132" s="3" t="s">
        <v>360</v>
      </c>
      <c r="D132" s="3" t="s">
        <v>360</v>
      </c>
      <c r="E132">
        <v>0.13</v>
      </c>
      <c r="F132">
        <v>0.01</v>
      </c>
      <c r="G132">
        <v>7</v>
      </c>
      <c r="H132" s="3" t="s">
        <v>454</v>
      </c>
      <c r="I132">
        <v>0</v>
      </c>
      <c r="J132" s="3" t="s">
        <v>34</v>
      </c>
      <c r="O132" s="3" t="s">
        <v>976</v>
      </c>
      <c r="P132" s="3" t="s">
        <v>512</v>
      </c>
      <c r="Q132">
        <v>1650160000</v>
      </c>
      <c r="R132">
        <v>41881059328</v>
      </c>
      <c r="S132">
        <v>7846.2744869999997</v>
      </c>
      <c r="T132" s="3" t="s">
        <v>513</v>
      </c>
      <c r="U132" s="3" t="s">
        <v>977</v>
      </c>
      <c r="V132" s="3" t="s">
        <v>366</v>
      </c>
      <c r="W132" s="3" t="s">
        <v>34</v>
      </c>
      <c r="X132">
        <v>0</v>
      </c>
      <c r="Y132">
        <v>5.3376999999999999</v>
      </c>
      <c r="Z132">
        <v>0</v>
      </c>
      <c r="AA132" s="3" t="s">
        <v>34</v>
      </c>
      <c r="AB132" s="3" t="s">
        <v>34</v>
      </c>
      <c r="AC132" s="3" t="s">
        <v>35</v>
      </c>
      <c r="AD132" s="3" t="s">
        <v>391</v>
      </c>
      <c r="AE132">
        <v>0</v>
      </c>
    </row>
    <row r="133" spans="1:33" x14ac:dyDescent="0.25">
      <c r="A133" s="3" t="s">
        <v>46</v>
      </c>
      <c r="B133">
        <v>83.22</v>
      </c>
      <c r="C133" s="3" t="s">
        <v>360</v>
      </c>
      <c r="D133" s="3" t="s">
        <v>360</v>
      </c>
      <c r="E133">
        <v>0.5</v>
      </c>
      <c r="F133">
        <v>0</v>
      </c>
      <c r="G133">
        <v>4</v>
      </c>
      <c r="H133" s="3" t="s">
        <v>379</v>
      </c>
      <c r="I133">
        <v>14029</v>
      </c>
      <c r="J133" s="3" t="s">
        <v>978</v>
      </c>
      <c r="K133">
        <v>115</v>
      </c>
      <c r="L133">
        <v>1.1299999999999999</v>
      </c>
      <c r="M133">
        <v>3.9303999999999999E-2</v>
      </c>
      <c r="N133">
        <v>0.38187900000000002</v>
      </c>
      <c r="O133" s="3" t="s">
        <v>979</v>
      </c>
      <c r="P133" s="3" t="s">
        <v>105</v>
      </c>
      <c r="Q133">
        <v>521564992</v>
      </c>
      <c r="R133">
        <v>47864152064</v>
      </c>
      <c r="S133">
        <v>47864.152064000002</v>
      </c>
      <c r="T133" s="3" t="s">
        <v>399</v>
      </c>
      <c r="U133" s="3" t="s">
        <v>980</v>
      </c>
      <c r="V133" s="3" t="s">
        <v>366</v>
      </c>
      <c r="W133" s="3" t="s">
        <v>981</v>
      </c>
      <c r="X133">
        <v>1167493.3899999999</v>
      </c>
      <c r="Y133">
        <v>1</v>
      </c>
      <c r="Z133">
        <v>15500</v>
      </c>
      <c r="AA133" s="3" t="s">
        <v>982</v>
      </c>
      <c r="AB133" s="3" t="s">
        <v>983</v>
      </c>
      <c r="AC133" s="3" t="s">
        <v>115</v>
      </c>
      <c r="AD133" s="3" t="s">
        <v>984</v>
      </c>
      <c r="AE133">
        <v>631639.81000000006</v>
      </c>
      <c r="AF133">
        <v>15500</v>
      </c>
    </row>
    <row r="134" spans="1:33" x14ac:dyDescent="0.25">
      <c r="A134" s="3" t="s">
        <v>67</v>
      </c>
      <c r="B134">
        <v>13.59</v>
      </c>
      <c r="C134" s="3" t="s">
        <v>360</v>
      </c>
      <c r="D134" s="3" t="s">
        <v>360</v>
      </c>
      <c r="E134">
        <v>0.34</v>
      </c>
      <c r="F134">
        <v>0.05</v>
      </c>
      <c r="G134">
        <v>4</v>
      </c>
      <c r="H134" s="3" t="s">
        <v>379</v>
      </c>
      <c r="I134">
        <v>187325</v>
      </c>
      <c r="J134" s="3" t="s">
        <v>985</v>
      </c>
      <c r="K134">
        <v>20</v>
      </c>
      <c r="L134">
        <v>0.6</v>
      </c>
      <c r="M134">
        <v>0.09</v>
      </c>
      <c r="N134">
        <v>0.47166999999999998</v>
      </c>
      <c r="O134" s="3" t="s">
        <v>986</v>
      </c>
      <c r="P134" s="3" t="s">
        <v>105</v>
      </c>
      <c r="Q134">
        <v>91567504</v>
      </c>
      <c r="R134">
        <v>1244402432</v>
      </c>
      <c r="S134">
        <v>1244.4024320000001</v>
      </c>
      <c r="T134" s="3" t="s">
        <v>382</v>
      </c>
      <c r="U134" s="3" t="s">
        <v>987</v>
      </c>
      <c r="V134" s="3" t="s">
        <v>443</v>
      </c>
      <c r="W134" s="3" t="s">
        <v>988</v>
      </c>
      <c r="X134">
        <v>2545746.75</v>
      </c>
      <c r="Y134">
        <v>1</v>
      </c>
      <c r="Z134">
        <v>0</v>
      </c>
      <c r="AA134" s="3" t="s">
        <v>34</v>
      </c>
      <c r="AB134" s="3" t="s">
        <v>390</v>
      </c>
      <c r="AC134" s="3" t="s">
        <v>989</v>
      </c>
      <c r="AD134" s="3" t="s">
        <v>990</v>
      </c>
      <c r="AE134">
        <v>0</v>
      </c>
      <c r="AF134">
        <v>16.009281000000001</v>
      </c>
      <c r="AG134">
        <v>3</v>
      </c>
    </row>
    <row r="135" spans="1:33" x14ac:dyDescent="0.25">
      <c r="A135" s="3" t="s">
        <v>991</v>
      </c>
      <c r="B135">
        <v>323.26</v>
      </c>
      <c r="C135" s="3" t="s">
        <v>360</v>
      </c>
      <c r="D135" s="3" t="s">
        <v>360</v>
      </c>
      <c r="E135">
        <v>0.99</v>
      </c>
      <c r="F135">
        <v>0.98</v>
      </c>
      <c r="G135">
        <v>3</v>
      </c>
      <c r="H135" s="3" t="s">
        <v>371</v>
      </c>
      <c r="I135">
        <v>0</v>
      </c>
      <c r="J135" s="3" t="s">
        <v>992</v>
      </c>
      <c r="K135">
        <v>420</v>
      </c>
      <c r="L135">
        <v>2.65</v>
      </c>
      <c r="M135">
        <v>2.5238E-2</v>
      </c>
      <c r="N135">
        <v>0.29926399999999997</v>
      </c>
      <c r="O135" s="3" t="s">
        <v>993</v>
      </c>
      <c r="P135" s="3" t="s">
        <v>105</v>
      </c>
      <c r="Q135">
        <v>54977200</v>
      </c>
      <c r="R135">
        <v>17771929600</v>
      </c>
      <c r="S135">
        <v>17771.929599999999</v>
      </c>
      <c r="T135" s="3" t="s">
        <v>382</v>
      </c>
      <c r="U135" s="3" t="s">
        <v>994</v>
      </c>
      <c r="V135" s="3" t="s">
        <v>366</v>
      </c>
      <c r="W135" s="3" t="s">
        <v>34</v>
      </c>
      <c r="X135">
        <v>0</v>
      </c>
      <c r="Y135">
        <v>1</v>
      </c>
      <c r="Z135">
        <v>0</v>
      </c>
      <c r="AA135" s="3" t="s">
        <v>34</v>
      </c>
      <c r="AB135" s="3" t="s">
        <v>115</v>
      </c>
      <c r="AC135" s="3" t="s">
        <v>35</v>
      </c>
      <c r="AD135" s="3" t="s">
        <v>391</v>
      </c>
      <c r="AE135">
        <v>0</v>
      </c>
      <c r="AF135">
        <v>19.760472</v>
      </c>
      <c r="AG135">
        <v>12</v>
      </c>
    </row>
    <row r="136" spans="1:33" x14ac:dyDescent="0.25">
      <c r="A136" s="3" t="s">
        <v>51</v>
      </c>
      <c r="B136">
        <v>686.68</v>
      </c>
      <c r="C136" s="3" t="s">
        <v>360</v>
      </c>
      <c r="D136" s="3" t="s">
        <v>360</v>
      </c>
      <c r="E136">
        <v>0.4</v>
      </c>
      <c r="F136">
        <v>0.05</v>
      </c>
      <c r="G136">
        <v>4</v>
      </c>
      <c r="H136" s="3" t="s">
        <v>379</v>
      </c>
      <c r="I136">
        <v>1642</v>
      </c>
      <c r="J136" s="3" t="s">
        <v>995</v>
      </c>
      <c r="K136">
        <v>860</v>
      </c>
      <c r="L136">
        <v>7.6</v>
      </c>
      <c r="M136">
        <v>3.5348999999999998E-2</v>
      </c>
      <c r="N136">
        <v>0.25240299999999999</v>
      </c>
      <c r="O136" s="3" t="s">
        <v>51</v>
      </c>
      <c r="P136" s="3" t="s">
        <v>105</v>
      </c>
      <c r="Q136">
        <v>21413600</v>
      </c>
      <c r="R136">
        <v>14704290816</v>
      </c>
      <c r="S136">
        <v>14704.290816000001</v>
      </c>
      <c r="T136" s="3" t="s">
        <v>399</v>
      </c>
      <c r="U136" s="3" t="s">
        <v>996</v>
      </c>
      <c r="V136" s="3" t="s">
        <v>366</v>
      </c>
      <c r="W136" s="3" t="s">
        <v>997</v>
      </c>
      <c r="X136">
        <v>1127528.55</v>
      </c>
      <c r="Y136">
        <v>1</v>
      </c>
      <c r="Z136">
        <v>0</v>
      </c>
      <c r="AA136" s="3" t="s">
        <v>34</v>
      </c>
      <c r="AB136" s="3" t="s">
        <v>115</v>
      </c>
      <c r="AC136" s="3" t="s">
        <v>998</v>
      </c>
      <c r="AD136" s="3" t="s">
        <v>999</v>
      </c>
      <c r="AE136">
        <v>0</v>
      </c>
      <c r="AF136">
        <v>19.345983</v>
      </c>
      <c r="AG136">
        <v>20</v>
      </c>
    </row>
    <row r="137" spans="1:33" x14ac:dyDescent="0.25">
      <c r="A137" s="3" t="s">
        <v>1000</v>
      </c>
      <c r="B137">
        <v>191.4</v>
      </c>
      <c r="C137" s="3" t="s">
        <v>360</v>
      </c>
      <c r="D137" s="3" t="s">
        <v>360</v>
      </c>
      <c r="E137">
        <v>0.97</v>
      </c>
      <c r="F137">
        <v>1</v>
      </c>
      <c r="G137">
        <v>3</v>
      </c>
      <c r="H137" s="3" t="s">
        <v>371</v>
      </c>
      <c r="I137">
        <v>344</v>
      </c>
      <c r="J137" s="3" t="s">
        <v>34</v>
      </c>
      <c r="O137" s="3" t="s">
        <v>319</v>
      </c>
      <c r="P137" s="3" t="s">
        <v>403</v>
      </c>
      <c r="Q137">
        <v>260911008</v>
      </c>
      <c r="R137">
        <v>49938366464</v>
      </c>
      <c r="S137">
        <v>58516.951563000002</v>
      </c>
      <c r="T137" s="3" t="s">
        <v>404</v>
      </c>
      <c r="U137" s="3" t="s">
        <v>1001</v>
      </c>
      <c r="V137" s="3" t="s">
        <v>366</v>
      </c>
      <c r="W137" s="3" t="s">
        <v>1002</v>
      </c>
      <c r="X137">
        <v>77152.100000000006</v>
      </c>
      <c r="Y137">
        <v>0.85340000000000005</v>
      </c>
      <c r="Z137">
        <v>0</v>
      </c>
      <c r="AA137" s="3" t="s">
        <v>34</v>
      </c>
      <c r="AB137" s="3" t="s">
        <v>34</v>
      </c>
      <c r="AC137" s="3" t="s">
        <v>1003</v>
      </c>
      <c r="AD137" s="3" t="s">
        <v>1004</v>
      </c>
      <c r="AE137">
        <v>0</v>
      </c>
    </row>
    <row r="138" spans="1:33" x14ac:dyDescent="0.25">
      <c r="A138" s="3" t="s">
        <v>1005</v>
      </c>
      <c r="B138">
        <v>302.57</v>
      </c>
      <c r="C138" s="3" t="s">
        <v>360</v>
      </c>
      <c r="D138" s="3" t="s">
        <v>360</v>
      </c>
      <c r="E138">
        <v>0.35</v>
      </c>
      <c r="F138">
        <v>0</v>
      </c>
      <c r="G138">
        <v>4</v>
      </c>
      <c r="H138" s="3" t="s">
        <v>379</v>
      </c>
      <c r="I138">
        <v>0</v>
      </c>
      <c r="J138" s="3" t="s">
        <v>1006</v>
      </c>
      <c r="K138">
        <v>330</v>
      </c>
      <c r="L138">
        <v>3.7</v>
      </c>
      <c r="M138">
        <v>4.4847999999999999E-2</v>
      </c>
      <c r="N138">
        <v>9.0657000000000001E-2</v>
      </c>
      <c r="O138" s="3" t="s">
        <v>1007</v>
      </c>
      <c r="P138" s="3" t="s">
        <v>105</v>
      </c>
      <c r="Q138">
        <v>116026000</v>
      </c>
      <c r="R138">
        <v>35105988608</v>
      </c>
      <c r="S138">
        <v>35105.988608</v>
      </c>
      <c r="T138" s="3" t="s">
        <v>399</v>
      </c>
      <c r="U138" s="3" t="s">
        <v>1008</v>
      </c>
      <c r="V138" s="3" t="s">
        <v>366</v>
      </c>
      <c r="W138" s="3" t="s">
        <v>34</v>
      </c>
      <c r="X138">
        <v>0</v>
      </c>
      <c r="Y138">
        <v>1</v>
      </c>
      <c r="Z138">
        <v>0</v>
      </c>
      <c r="AA138" s="3" t="s">
        <v>34</v>
      </c>
      <c r="AB138" s="3" t="s">
        <v>115</v>
      </c>
      <c r="AC138" s="3" t="s">
        <v>35</v>
      </c>
      <c r="AD138" s="3" t="s">
        <v>391</v>
      </c>
      <c r="AE138">
        <v>0</v>
      </c>
      <c r="AF138">
        <v>17.895765999999998</v>
      </c>
      <c r="AG138">
        <v>21</v>
      </c>
    </row>
    <row r="139" spans="1:33" x14ac:dyDescent="0.25">
      <c r="A139" s="3" t="s">
        <v>59</v>
      </c>
      <c r="B139">
        <v>466</v>
      </c>
      <c r="C139" s="3" t="s">
        <v>360</v>
      </c>
      <c r="D139" s="3" t="s">
        <v>360</v>
      </c>
      <c r="E139">
        <v>0.2</v>
      </c>
      <c r="F139">
        <v>0.26</v>
      </c>
      <c r="G139">
        <v>8</v>
      </c>
      <c r="H139" s="3" t="s">
        <v>529</v>
      </c>
      <c r="I139">
        <v>1617</v>
      </c>
      <c r="J139" s="3" t="s">
        <v>1009</v>
      </c>
      <c r="K139">
        <v>530</v>
      </c>
      <c r="L139">
        <v>1.85</v>
      </c>
      <c r="M139">
        <v>1.7453E-2</v>
      </c>
      <c r="N139">
        <v>0.13733899999999999</v>
      </c>
      <c r="O139" s="3" t="s">
        <v>1010</v>
      </c>
      <c r="P139" s="3" t="s">
        <v>105</v>
      </c>
      <c r="Q139">
        <v>105424000</v>
      </c>
      <c r="R139">
        <v>49127583744</v>
      </c>
      <c r="S139">
        <v>49127.583744000003</v>
      </c>
      <c r="T139" s="3" t="s">
        <v>399</v>
      </c>
      <c r="U139" s="3" t="s">
        <v>1011</v>
      </c>
      <c r="V139" s="3" t="s">
        <v>366</v>
      </c>
      <c r="W139" s="3" t="s">
        <v>1012</v>
      </c>
      <c r="X139">
        <v>753522</v>
      </c>
      <c r="Y139">
        <v>1</v>
      </c>
      <c r="Z139">
        <v>0</v>
      </c>
      <c r="AA139" s="3" t="s">
        <v>34</v>
      </c>
      <c r="AB139" s="3" t="s">
        <v>122</v>
      </c>
      <c r="AC139" s="3" t="s">
        <v>1013</v>
      </c>
      <c r="AD139" s="3" t="s">
        <v>1014</v>
      </c>
      <c r="AE139">
        <v>0</v>
      </c>
      <c r="AF139">
        <v>18.948823999999998</v>
      </c>
      <c r="AG139">
        <v>21</v>
      </c>
    </row>
    <row r="140" spans="1:33" x14ac:dyDescent="0.25">
      <c r="A140" s="3" t="s">
        <v>1015</v>
      </c>
      <c r="B140">
        <v>79.22</v>
      </c>
      <c r="C140" s="3" t="s">
        <v>360</v>
      </c>
      <c r="D140" s="3" t="s">
        <v>360</v>
      </c>
      <c r="E140">
        <v>0.12</v>
      </c>
      <c r="F140">
        <v>0.96</v>
      </c>
      <c r="G140">
        <v>9</v>
      </c>
      <c r="H140" s="3" t="s">
        <v>428</v>
      </c>
      <c r="I140">
        <v>0</v>
      </c>
      <c r="J140" s="3" t="s">
        <v>1016</v>
      </c>
      <c r="K140">
        <v>85</v>
      </c>
      <c r="L140">
        <v>0.5</v>
      </c>
      <c r="M140">
        <v>3.5293999999999999E-2</v>
      </c>
      <c r="N140">
        <v>7.2960999999999998E-2</v>
      </c>
      <c r="O140" s="3" t="s">
        <v>1017</v>
      </c>
      <c r="P140" s="3" t="s">
        <v>105</v>
      </c>
      <c r="Q140">
        <v>129772000</v>
      </c>
      <c r="R140">
        <v>10280538112</v>
      </c>
      <c r="S140">
        <v>10280.538112</v>
      </c>
      <c r="T140" s="3" t="s">
        <v>399</v>
      </c>
      <c r="U140" s="3" t="s">
        <v>1018</v>
      </c>
      <c r="V140" s="3" t="s">
        <v>366</v>
      </c>
      <c r="W140" s="3" t="s">
        <v>34</v>
      </c>
      <c r="X140">
        <v>0</v>
      </c>
      <c r="Y140">
        <v>1</v>
      </c>
      <c r="Z140">
        <v>0</v>
      </c>
      <c r="AA140" s="3" t="s">
        <v>34</v>
      </c>
      <c r="AB140" s="3" t="s">
        <v>122</v>
      </c>
      <c r="AC140" s="3" t="s">
        <v>35</v>
      </c>
      <c r="AD140" s="3" t="s">
        <v>391</v>
      </c>
      <c r="AE140">
        <v>0</v>
      </c>
      <c r="AF140">
        <v>18.305007</v>
      </c>
      <c r="AG140">
        <v>17</v>
      </c>
    </row>
    <row r="141" spans="1:33" x14ac:dyDescent="0.25">
      <c r="A141" s="3" t="s">
        <v>1019</v>
      </c>
      <c r="B141">
        <v>87.16</v>
      </c>
      <c r="C141" s="3" t="s">
        <v>360</v>
      </c>
      <c r="D141" s="3" t="s">
        <v>360</v>
      </c>
      <c r="E141">
        <v>0.88</v>
      </c>
      <c r="F141">
        <v>0.48</v>
      </c>
      <c r="G141">
        <v>2</v>
      </c>
      <c r="H141" s="3" t="s">
        <v>415</v>
      </c>
      <c r="I141">
        <v>0</v>
      </c>
      <c r="J141" s="3" t="s">
        <v>1020</v>
      </c>
      <c r="K141">
        <v>95</v>
      </c>
      <c r="L141">
        <v>1.39</v>
      </c>
      <c r="M141">
        <v>4.3895000000000003E-2</v>
      </c>
      <c r="N141">
        <v>8.9950000000000002E-2</v>
      </c>
      <c r="O141" s="3" t="s">
        <v>1021</v>
      </c>
      <c r="P141" s="3" t="s">
        <v>105</v>
      </c>
      <c r="Q141">
        <v>1507879936</v>
      </c>
      <c r="R141">
        <v>131426820096</v>
      </c>
      <c r="S141">
        <v>131426.82009600001</v>
      </c>
      <c r="T141" s="3" t="s">
        <v>399</v>
      </c>
      <c r="U141" s="3" t="s">
        <v>1022</v>
      </c>
      <c r="V141" s="3" t="s">
        <v>366</v>
      </c>
      <c r="W141" s="3" t="s">
        <v>34</v>
      </c>
      <c r="X141">
        <v>0</v>
      </c>
      <c r="Y141">
        <v>1</v>
      </c>
      <c r="Z141">
        <v>0</v>
      </c>
      <c r="AA141" s="3" t="s">
        <v>34</v>
      </c>
      <c r="AB141" s="3" t="s">
        <v>390</v>
      </c>
      <c r="AC141" s="3" t="s">
        <v>35</v>
      </c>
      <c r="AD141" s="3" t="s">
        <v>391</v>
      </c>
      <c r="AE141">
        <v>0</v>
      </c>
      <c r="AF141">
        <v>15.416319</v>
      </c>
      <c r="AG141">
        <v>3</v>
      </c>
    </row>
    <row r="142" spans="1:33" x14ac:dyDescent="0.25">
      <c r="A142" s="3" t="s">
        <v>112</v>
      </c>
      <c r="B142">
        <v>12.2</v>
      </c>
      <c r="C142" s="3" t="s">
        <v>360</v>
      </c>
      <c r="D142" s="3" t="s">
        <v>360</v>
      </c>
      <c r="E142">
        <v>1</v>
      </c>
      <c r="F142">
        <v>0.04</v>
      </c>
      <c r="G142">
        <v>1</v>
      </c>
      <c r="H142" s="3" t="s">
        <v>402</v>
      </c>
      <c r="I142">
        <v>107729</v>
      </c>
      <c r="J142" s="3" t="s">
        <v>1023</v>
      </c>
      <c r="K142">
        <v>16</v>
      </c>
      <c r="L142">
        <v>0.2</v>
      </c>
      <c r="M142">
        <v>0.05</v>
      </c>
      <c r="N142">
        <v>0.311475</v>
      </c>
      <c r="O142" s="3" t="s">
        <v>1024</v>
      </c>
      <c r="P142" s="3" t="s">
        <v>105</v>
      </c>
      <c r="Q142">
        <v>322656992</v>
      </c>
      <c r="R142">
        <v>3936415232</v>
      </c>
      <c r="S142">
        <v>3936.4152319999998</v>
      </c>
      <c r="T142" s="3" t="s">
        <v>382</v>
      </c>
      <c r="U142" s="3" t="s">
        <v>1025</v>
      </c>
      <c r="V142" s="3" t="s">
        <v>406</v>
      </c>
      <c r="W142" s="3" t="s">
        <v>1026</v>
      </c>
      <c r="X142">
        <v>1314293.8</v>
      </c>
      <c r="Y142">
        <v>1</v>
      </c>
      <c r="Z142">
        <v>0</v>
      </c>
      <c r="AA142" s="3" t="s">
        <v>34</v>
      </c>
      <c r="AB142" s="3" t="s">
        <v>115</v>
      </c>
      <c r="AC142" s="3" t="s">
        <v>35</v>
      </c>
      <c r="AD142" s="3" t="s">
        <v>391</v>
      </c>
      <c r="AE142">
        <v>0</v>
      </c>
      <c r="AF142">
        <v>19.645848000000001</v>
      </c>
      <c r="AG142">
        <v>13</v>
      </c>
    </row>
    <row r="143" spans="1:33" x14ac:dyDescent="0.25">
      <c r="A143" s="3" t="s">
        <v>1027</v>
      </c>
      <c r="B143">
        <v>514.59</v>
      </c>
      <c r="C143" s="3" t="s">
        <v>360</v>
      </c>
      <c r="D143" s="3" t="s">
        <v>360</v>
      </c>
      <c r="E143">
        <v>0</v>
      </c>
      <c r="F143">
        <v>0.55000000000000004</v>
      </c>
      <c r="G143">
        <v>8</v>
      </c>
      <c r="H143" s="3" t="s">
        <v>529</v>
      </c>
      <c r="I143">
        <v>0</v>
      </c>
      <c r="J143" s="3" t="s">
        <v>1028</v>
      </c>
      <c r="K143">
        <v>660</v>
      </c>
      <c r="L143">
        <v>6.9</v>
      </c>
      <c r="M143">
        <v>4.1818000000000001E-2</v>
      </c>
      <c r="N143">
        <v>0.28257399999999999</v>
      </c>
      <c r="O143" s="3" t="s">
        <v>1029</v>
      </c>
      <c r="P143" s="3" t="s">
        <v>105</v>
      </c>
      <c r="Q143">
        <v>10203800</v>
      </c>
      <c r="R143">
        <v>6320091648</v>
      </c>
      <c r="S143">
        <v>6320.0916479999996</v>
      </c>
      <c r="T143" s="3" t="s">
        <v>399</v>
      </c>
      <c r="U143" s="3" t="s">
        <v>1030</v>
      </c>
      <c r="V143" s="3" t="s">
        <v>406</v>
      </c>
      <c r="W143" s="3" t="s">
        <v>34</v>
      </c>
      <c r="X143">
        <v>0</v>
      </c>
      <c r="Y143">
        <v>1</v>
      </c>
      <c r="Z143">
        <v>0</v>
      </c>
      <c r="AA143" s="3" t="s">
        <v>34</v>
      </c>
      <c r="AB143" s="3" t="s">
        <v>115</v>
      </c>
      <c r="AC143" s="3" t="s">
        <v>35</v>
      </c>
      <c r="AD143" s="3" t="s">
        <v>391</v>
      </c>
      <c r="AE143">
        <v>0</v>
      </c>
      <c r="AF143">
        <v>16.585184999999999</v>
      </c>
      <c r="AG143">
        <v>18</v>
      </c>
    </row>
    <row r="144" spans="1:33" x14ac:dyDescent="0.25">
      <c r="A144" s="3" t="s">
        <v>1031</v>
      </c>
      <c r="B144">
        <v>114.11</v>
      </c>
      <c r="C144" s="3" t="s">
        <v>360</v>
      </c>
      <c r="D144" s="3" t="s">
        <v>360</v>
      </c>
      <c r="E144">
        <v>0.17</v>
      </c>
      <c r="F144">
        <v>0.31</v>
      </c>
      <c r="G144">
        <v>8</v>
      </c>
      <c r="H144" s="3" t="s">
        <v>529</v>
      </c>
      <c r="I144">
        <v>0</v>
      </c>
      <c r="J144" s="3" t="s">
        <v>1032</v>
      </c>
      <c r="K144">
        <v>125</v>
      </c>
      <c r="L144">
        <v>1.08</v>
      </c>
      <c r="M144">
        <v>3.456E-2</v>
      </c>
      <c r="N144">
        <v>9.5434000000000005E-2</v>
      </c>
      <c r="O144" s="3" t="s">
        <v>1033</v>
      </c>
      <c r="P144" s="3" t="s">
        <v>105</v>
      </c>
      <c r="Q144">
        <v>1179100032</v>
      </c>
      <c r="R144">
        <v>134547103744</v>
      </c>
      <c r="S144">
        <v>134547.10374399999</v>
      </c>
      <c r="T144" s="3" t="s">
        <v>382</v>
      </c>
      <c r="U144" s="3" t="s">
        <v>1034</v>
      </c>
      <c r="V144" s="3" t="s">
        <v>366</v>
      </c>
      <c r="W144" s="3" t="s">
        <v>34</v>
      </c>
      <c r="X144">
        <v>0</v>
      </c>
      <c r="Y144">
        <v>1</v>
      </c>
      <c r="Z144">
        <v>0</v>
      </c>
      <c r="AA144" s="3" t="s">
        <v>34</v>
      </c>
      <c r="AB144" s="3" t="s">
        <v>115</v>
      </c>
      <c r="AC144" s="3" t="s">
        <v>35</v>
      </c>
      <c r="AD144" s="3" t="s">
        <v>391</v>
      </c>
      <c r="AE144">
        <v>0</v>
      </c>
      <c r="AF144">
        <v>19.783622000000001</v>
      </c>
      <c r="AG144">
        <v>33</v>
      </c>
    </row>
    <row r="145" spans="1:35" x14ac:dyDescent="0.25">
      <c r="A145" s="3" t="s">
        <v>1035</v>
      </c>
      <c r="B145">
        <v>17.920000000000002</v>
      </c>
      <c r="C145" s="3" t="s">
        <v>360</v>
      </c>
      <c r="D145" s="3" t="s">
        <v>360</v>
      </c>
      <c r="E145">
        <v>0.49</v>
      </c>
      <c r="F145">
        <v>0.24</v>
      </c>
      <c r="G145">
        <v>4</v>
      </c>
      <c r="H145" s="3" t="s">
        <v>379</v>
      </c>
      <c r="I145">
        <v>0</v>
      </c>
      <c r="J145" s="3" t="s">
        <v>34</v>
      </c>
      <c r="O145" s="3" t="s">
        <v>1036</v>
      </c>
      <c r="P145" s="3" t="s">
        <v>403</v>
      </c>
      <c r="Q145">
        <v>168640000</v>
      </c>
      <c r="R145">
        <v>3022871808</v>
      </c>
      <c r="S145">
        <v>3542.1511690000002</v>
      </c>
      <c r="T145" s="3" t="s">
        <v>441</v>
      </c>
      <c r="U145" s="3" t="s">
        <v>1037</v>
      </c>
      <c r="V145" s="3" t="s">
        <v>406</v>
      </c>
      <c r="W145" s="3" t="s">
        <v>34</v>
      </c>
      <c r="X145">
        <v>0</v>
      </c>
      <c r="Y145">
        <v>0.85340000000000005</v>
      </c>
      <c r="Z145">
        <v>0</v>
      </c>
      <c r="AA145" s="3" t="s">
        <v>34</v>
      </c>
      <c r="AB145" s="3" t="s">
        <v>34</v>
      </c>
      <c r="AC145" s="3" t="s">
        <v>35</v>
      </c>
      <c r="AD145" s="3" t="s">
        <v>391</v>
      </c>
      <c r="AE145">
        <v>0</v>
      </c>
    </row>
    <row r="146" spans="1:35" x14ac:dyDescent="0.25">
      <c r="A146" s="3" t="s">
        <v>1038</v>
      </c>
      <c r="B146">
        <v>1444</v>
      </c>
      <c r="C146" s="3" t="s">
        <v>360</v>
      </c>
      <c r="D146" s="3" t="s">
        <v>360</v>
      </c>
      <c r="E146">
        <v>0.05</v>
      </c>
      <c r="F146">
        <v>0.03</v>
      </c>
      <c r="G146">
        <v>7</v>
      </c>
      <c r="H146" s="3" t="s">
        <v>454</v>
      </c>
      <c r="I146">
        <v>0</v>
      </c>
      <c r="J146" s="3" t="s">
        <v>1039</v>
      </c>
      <c r="K146">
        <v>1780</v>
      </c>
      <c r="L146">
        <v>17.3</v>
      </c>
      <c r="M146">
        <v>3.8876000000000001E-2</v>
      </c>
      <c r="N146">
        <v>0.232687</v>
      </c>
      <c r="O146" s="3" t="s">
        <v>1040</v>
      </c>
      <c r="P146" s="3" t="s">
        <v>105</v>
      </c>
      <c r="Q146">
        <v>113224000</v>
      </c>
      <c r="R146">
        <v>178196824064</v>
      </c>
      <c r="S146">
        <v>178196.82406399999</v>
      </c>
      <c r="T146" s="3" t="s">
        <v>399</v>
      </c>
      <c r="U146" s="3" t="s">
        <v>1041</v>
      </c>
      <c r="V146" s="3" t="s">
        <v>366</v>
      </c>
      <c r="W146" s="3" t="s">
        <v>34</v>
      </c>
      <c r="X146">
        <v>0</v>
      </c>
      <c r="Y146">
        <v>1</v>
      </c>
      <c r="Z146">
        <v>0</v>
      </c>
      <c r="AA146" s="3" t="s">
        <v>34</v>
      </c>
      <c r="AB146" s="3" t="s">
        <v>115</v>
      </c>
      <c r="AC146" s="3" t="s">
        <v>35</v>
      </c>
      <c r="AD146" s="3" t="s">
        <v>391</v>
      </c>
      <c r="AE146">
        <v>0</v>
      </c>
      <c r="AF146">
        <v>18.763408999999999</v>
      </c>
      <c r="AG146">
        <v>15</v>
      </c>
    </row>
    <row r="147" spans="1:35" x14ac:dyDescent="0.25">
      <c r="A147" s="3" t="s">
        <v>1042</v>
      </c>
      <c r="B147">
        <v>291.8</v>
      </c>
      <c r="C147" s="3" t="s">
        <v>360</v>
      </c>
      <c r="D147" s="3" t="s">
        <v>360</v>
      </c>
      <c r="E147">
        <v>0.4</v>
      </c>
      <c r="F147">
        <v>0.37</v>
      </c>
      <c r="G147">
        <v>5</v>
      </c>
      <c r="H147" s="3" t="s">
        <v>361</v>
      </c>
      <c r="I147">
        <v>0</v>
      </c>
      <c r="J147" s="3" t="s">
        <v>1043</v>
      </c>
      <c r="K147">
        <v>320</v>
      </c>
      <c r="L147">
        <v>2.5499999999999998</v>
      </c>
      <c r="M147">
        <v>3.1875000000000001E-2</v>
      </c>
      <c r="N147">
        <v>9.6642000000000006E-2</v>
      </c>
      <c r="O147" s="3" t="s">
        <v>1044</v>
      </c>
      <c r="P147" s="3" t="s">
        <v>105</v>
      </c>
      <c r="Q147">
        <v>263302000</v>
      </c>
      <c r="R147">
        <v>76831522816</v>
      </c>
      <c r="S147">
        <v>76831.522815999997</v>
      </c>
      <c r="T147" s="3" t="s">
        <v>399</v>
      </c>
      <c r="U147" s="3" t="s">
        <v>1045</v>
      </c>
      <c r="V147" s="3" t="s">
        <v>366</v>
      </c>
      <c r="W147" s="3" t="s">
        <v>34</v>
      </c>
      <c r="X147">
        <v>0</v>
      </c>
      <c r="Y147">
        <v>1</v>
      </c>
      <c r="Z147">
        <v>0</v>
      </c>
      <c r="AA147" s="3" t="s">
        <v>34</v>
      </c>
      <c r="AB147" s="3" t="s">
        <v>115</v>
      </c>
      <c r="AC147" s="3" t="s">
        <v>35</v>
      </c>
      <c r="AD147" s="3" t="s">
        <v>391</v>
      </c>
      <c r="AE147">
        <v>0</v>
      </c>
      <c r="AF147">
        <v>18.230763</v>
      </c>
      <c r="AG147">
        <v>22</v>
      </c>
    </row>
    <row r="148" spans="1:35" x14ac:dyDescent="0.25">
      <c r="A148" s="3" t="s">
        <v>1046</v>
      </c>
      <c r="B148">
        <v>1712</v>
      </c>
      <c r="C148" s="3" t="s">
        <v>360</v>
      </c>
      <c r="D148" s="3" t="s">
        <v>360</v>
      </c>
      <c r="E148">
        <v>0.99</v>
      </c>
      <c r="F148">
        <v>0.73</v>
      </c>
      <c r="G148">
        <v>2</v>
      </c>
      <c r="H148" s="3" t="s">
        <v>415</v>
      </c>
      <c r="I148">
        <v>0</v>
      </c>
      <c r="J148" s="3" t="s">
        <v>34</v>
      </c>
      <c r="O148" s="3" t="s">
        <v>1047</v>
      </c>
      <c r="P148" s="3" t="s">
        <v>694</v>
      </c>
      <c r="Q148">
        <v>130909000</v>
      </c>
      <c r="R148">
        <v>2241162240</v>
      </c>
      <c r="S148">
        <v>2241.1622400000001</v>
      </c>
      <c r="T148" s="3" t="s">
        <v>695</v>
      </c>
      <c r="U148" s="3" t="s">
        <v>1048</v>
      </c>
      <c r="V148" s="3" t="s">
        <v>406</v>
      </c>
      <c r="W148" s="3" t="s">
        <v>34</v>
      </c>
      <c r="X148">
        <v>0</v>
      </c>
      <c r="Y148">
        <v>1</v>
      </c>
      <c r="Z148">
        <v>0</v>
      </c>
      <c r="AA148" s="3" t="s">
        <v>34</v>
      </c>
      <c r="AB148" s="3" t="s">
        <v>34</v>
      </c>
      <c r="AC148" s="3" t="s">
        <v>35</v>
      </c>
      <c r="AD148" s="3" t="s">
        <v>391</v>
      </c>
      <c r="AE148">
        <v>0</v>
      </c>
    </row>
    <row r="149" spans="1:35" x14ac:dyDescent="0.25">
      <c r="A149" s="3" t="s">
        <v>1049</v>
      </c>
      <c r="B149">
        <v>321.94</v>
      </c>
      <c r="C149" s="3" t="s">
        <v>360</v>
      </c>
      <c r="D149" s="3" t="s">
        <v>360</v>
      </c>
      <c r="E149">
        <v>0.75</v>
      </c>
      <c r="F149">
        <v>0.9</v>
      </c>
      <c r="G149">
        <v>3</v>
      </c>
      <c r="H149" s="3" t="s">
        <v>371</v>
      </c>
      <c r="I149">
        <v>0</v>
      </c>
      <c r="J149" s="3" t="s">
        <v>1050</v>
      </c>
      <c r="K149">
        <v>350</v>
      </c>
      <c r="L149">
        <v>4.2</v>
      </c>
      <c r="M149">
        <v>4.8000000000000001E-2</v>
      </c>
      <c r="N149">
        <v>8.7159E-2</v>
      </c>
      <c r="O149" s="3" t="s">
        <v>1051</v>
      </c>
      <c r="P149" s="3" t="s">
        <v>105</v>
      </c>
      <c r="Q149">
        <v>152503008</v>
      </c>
      <c r="R149">
        <v>49096818688</v>
      </c>
      <c r="S149">
        <v>49096.818687999999</v>
      </c>
      <c r="T149" s="3" t="s">
        <v>382</v>
      </c>
      <c r="U149" s="3" t="s">
        <v>1052</v>
      </c>
      <c r="V149" s="3" t="s">
        <v>366</v>
      </c>
      <c r="W149" s="3" t="s">
        <v>34</v>
      </c>
      <c r="X149">
        <v>0</v>
      </c>
      <c r="Y149">
        <v>1</v>
      </c>
      <c r="Z149">
        <v>0</v>
      </c>
      <c r="AA149" s="3" t="s">
        <v>34</v>
      </c>
      <c r="AB149" s="3" t="s">
        <v>115</v>
      </c>
      <c r="AC149" s="3" t="s">
        <v>35</v>
      </c>
      <c r="AD149" s="3" t="s">
        <v>391</v>
      </c>
      <c r="AE149">
        <v>0</v>
      </c>
      <c r="AF149">
        <v>19.080335999999999</v>
      </c>
      <c r="AG149">
        <v>19</v>
      </c>
    </row>
    <row r="150" spans="1:35" x14ac:dyDescent="0.25">
      <c r="A150" s="3" t="s">
        <v>1053</v>
      </c>
      <c r="B150">
        <v>35.97</v>
      </c>
      <c r="C150" s="3" t="s">
        <v>360</v>
      </c>
      <c r="D150" s="3" t="s">
        <v>360</v>
      </c>
      <c r="E150">
        <v>0.41</v>
      </c>
      <c r="F150">
        <v>0.94</v>
      </c>
      <c r="G150">
        <v>6</v>
      </c>
      <c r="H150" s="3" t="s">
        <v>524</v>
      </c>
      <c r="I150">
        <v>0</v>
      </c>
      <c r="J150" s="3" t="s">
        <v>1054</v>
      </c>
      <c r="K150">
        <v>50</v>
      </c>
      <c r="L150">
        <v>0.41</v>
      </c>
      <c r="M150">
        <v>3.2800000000000003E-2</v>
      </c>
      <c r="N150">
        <v>0.39004699999999998</v>
      </c>
      <c r="O150" s="3" t="s">
        <v>1055</v>
      </c>
      <c r="P150" s="3" t="s">
        <v>105</v>
      </c>
      <c r="Q150">
        <v>125771000</v>
      </c>
      <c r="R150">
        <v>4523982848</v>
      </c>
      <c r="S150">
        <v>4523.9828479999996</v>
      </c>
      <c r="T150" s="3" t="s">
        <v>382</v>
      </c>
      <c r="U150" s="3" t="s">
        <v>1056</v>
      </c>
      <c r="V150" s="3" t="s">
        <v>406</v>
      </c>
      <c r="W150" s="3" t="s">
        <v>34</v>
      </c>
      <c r="X150">
        <v>0</v>
      </c>
      <c r="Y150">
        <v>1</v>
      </c>
      <c r="Z150">
        <v>0</v>
      </c>
      <c r="AA150" s="3" t="s">
        <v>34</v>
      </c>
      <c r="AB150" s="3" t="s">
        <v>115</v>
      </c>
      <c r="AC150" s="3" t="s">
        <v>35</v>
      </c>
      <c r="AD150" s="3" t="s">
        <v>391</v>
      </c>
      <c r="AE150">
        <v>0</v>
      </c>
      <c r="AF150">
        <v>15.740741</v>
      </c>
      <c r="AG150">
        <v>3</v>
      </c>
    </row>
    <row r="151" spans="1:35" x14ac:dyDescent="0.25">
      <c r="A151" s="3" t="s">
        <v>1057</v>
      </c>
      <c r="B151">
        <v>453.08</v>
      </c>
      <c r="C151" s="3" t="s">
        <v>360</v>
      </c>
      <c r="D151" s="3" t="s">
        <v>360</v>
      </c>
      <c r="E151">
        <v>0.98</v>
      </c>
      <c r="F151">
        <v>0</v>
      </c>
      <c r="G151">
        <v>1</v>
      </c>
      <c r="H151" s="3" t="s">
        <v>402</v>
      </c>
      <c r="I151">
        <v>0</v>
      </c>
      <c r="J151" s="3" t="s">
        <v>1058</v>
      </c>
      <c r="K151">
        <v>500</v>
      </c>
      <c r="L151">
        <v>6.9</v>
      </c>
      <c r="M151">
        <v>4.1399999999999999E-2</v>
      </c>
      <c r="N151">
        <v>0.103558</v>
      </c>
      <c r="O151" s="3" t="s">
        <v>1059</v>
      </c>
      <c r="P151" s="3" t="s">
        <v>105</v>
      </c>
      <c r="Q151">
        <v>241000000</v>
      </c>
      <c r="R151">
        <v>109192273920</v>
      </c>
      <c r="S151">
        <v>109192.27392000001</v>
      </c>
      <c r="T151" s="3" t="s">
        <v>399</v>
      </c>
      <c r="U151" s="3" t="s">
        <v>1060</v>
      </c>
      <c r="V151" s="3" t="s">
        <v>366</v>
      </c>
      <c r="W151" s="3" t="s">
        <v>34</v>
      </c>
      <c r="X151">
        <v>0</v>
      </c>
      <c r="Y151">
        <v>1</v>
      </c>
      <c r="Z151">
        <v>0</v>
      </c>
      <c r="AA151" s="3" t="s">
        <v>34</v>
      </c>
      <c r="AB151" s="3" t="s">
        <v>390</v>
      </c>
      <c r="AC151" s="3" t="s">
        <v>35</v>
      </c>
      <c r="AD151" s="3" t="s">
        <v>391</v>
      </c>
      <c r="AE151">
        <v>0</v>
      </c>
      <c r="AF151">
        <v>18.757003999999998</v>
      </c>
      <c r="AG151">
        <v>20</v>
      </c>
    </row>
    <row r="152" spans="1:35" x14ac:dyDescent="0.25">
      <c r="A152" s="3" t="s">
        <v>99</v>
      </c>
      <c r="B152">
        <v>230.2</v>
      </c>
      <c r="C152" s="3" t="s">
        <v>360</v>
      </c>
      <c r="D152" s="3" t="s">
        <v>360</v>
      </c>
      <c r="E152">
        <v>0.51</v>
      </c>
      <c r="F152">
        <v>0.09</v>
      </c>
      <c r="G152">
        <v>4</v>
      </c>
      <c r="H152" s="3" t="s">
        <v>379</v>
      </c>
      <c r="I152">
        <v>0</v>
      </c>
      <c r="J152" s="3" t="s">
        <v>1061</v>
      </c>
      <c r="K152">
        <v>290</v>
      </c>
      <c r="L152">
        <v>4.0999999999999996</v>
      </c>
      <c r="M152">
        <v>4.2414E-2</v>
      </c>
      <c r="N152">
        <v>0.259774</v>
      </c>
      <c r="O152" s="3" t="s">
        <v>1062</v>
      </c>
      <c r="P152" s="3" t="s">
        <v>105</v>
      </c>
      <c r="Q152">
        <v>191356000</v>
      </c>
      <c r="R152">
        <v>44050149376</v>
      </c>
      <c r="S152">
        <v>44050.149376000001</v>
      </c>
      <c r="T152" s="3" t="s">
        <v>399</v>
      </c>
      <c r="U152" s="3" t="s">
        <v>1063</v>
      </c>
      <c r="V152" s="3" t="s">
        <v>366</v>
      </c>
      <c r="W152" s="3" t="s">
        <v>34</v>
      </c>
      <c r="X152">
        <v>0</v>
      </c>
      <c r="Y152">
        <v>1</v>
      </c>
      <c r="Z152">
        <v>0</v>
      </c>
      <c r="AA152" s="3" t="s">
        <v>34</v>
      </c>
      <c r="AB152" s="3" t="s">
        <v>390</v>
      </c>
      <c r="AC152" s="3" t="s">
        <v>35</v>
      </c>
      <c r="AD152" s="3" t="s">
        <v>391</v>
      </c>
      <c r="AE152">
        <v>0</v>
      </c>
      <c r="AF152">
        <v>16.163295000000002</v>
      </c>
      <c r="AG152">
        <v>8</v>
      </c>
    </row>
    <row r="153" spans="1:35" x14ac:dyDescent="0.25">
      <c r="A153" s="3" t="s">
        <v>1064</v>
      </c>
      <c r="B153">
        <v>151.12</v>
      </c>
      <c r="C153" s="3" t="s">
        <v>360</v>
      </c>
      <c r="D153" s="3" t="s">
        <v>360</v>
      </c>
      <c r="E153">
        <v>0.7</v>
      </c>
      <c r="F153">
        <v>0.2</v>
      </c>
      <c r="G153">
        <v>4</v>
      </c>
      <c r="H153" s="3" t="s">
        <v>379</v>
      </c>
      <c r="I153">
        <v>0</v>
      </c>
      <c r="J153" s="3" t="s">
        <v>1065</v>
      </c>
      <c r="K153">
        <v>185</v>
      </c>
      <c r="L153">
        <v>1.51</v>
      </c>
      <c r="M153">
        <v>3.2648999999999997E-2</v>
      </c>
      <c r="N153">
        <v>0.224193</v>
      </c>
      <c r="O153" s="3" t="s">
        <v>1066</v>
      </c>
      <c r="P153" s="3" t="s">
        <v>105</v>
      </c>
      <c r="Q153">
        <v>161546000</v>
      </c>
      <c r="R153">
        <v>24412831744</v>
      </c>
      <c r="S153">
        <v>24412.831743999999</v>
      </c>
      <c r="T153" s="3" t="s">
        <v>382</v>
      </c>
      <c r="U153" s="3" t="s">
        <v>1067</v>
      </c>
      <c r="V153" s="3" t="s">
        <v>366</v>
      </c>
      <c r="W153" s="3" t="s">
        <v>34</v>
      </c>
      <c r="X153">
        <v>0</v>
      </c>
      <c r="Y153">
        <v>1</v>
      </c>
      <c r="Z153">
        <v>0</v>
      </c>
      <c r="AA153" s="3" t="s">
        <v>34</v>
      </c>
      <c r="AB153" s="3" t="s">
        <v>115</v>
      </c>
      <c r="AC153" s="3" t="s">
        <v>35</v>
      </c>
      <c r="AD153" s="3" t="s">
        <v>391</v>
      </c>
      <c r="AE153">
        <v>0</v>
      </c>
    </row>
    <row r="154" spans="1:35" x14ac:dyDescent="0.25">
      <c r="A154" s="3" t="s">
        <v>1068</v>
      </c>
      <c r="B154">
        <v>262.5</v>
      </c>
      <c r="C154" s="3" t="s">
        <v>360</v>
      </c>
      <c r="D154" s="3" t="s">
        <v>360</v>
      </c>
      <c r="E154">
        <v>0.6</v>
      </c>
      <c r="F154">
        <v>0</v>
      </c>
      <c r="G154">
        <v>4</v>
      </c>
      <c r="H154" s="3" t="s">
        <v>379</v>
      </c>
      <c r="I154">
        <v>0</v>
      </c>
      <c r="J154" s="3" t="s">
        <v>1069</v>
      </c>
      <c r="K154">
        <v>320</v>
      </c>
      <c r="L154">
        <v>3.4</v>
      </c>
      <c r="M154">
        <v>4.2500000000000003E-2</v>
      </c>
      <c r="N154">
        <v>0.21904799999999999</v>
      </c>
      <c r="O154" s="3" t="s">
        <v>1070</v>
      </c>
      <c r="P154" s="3" t="s">
        <v>105</v>
      </c>
      <c r="Q154">
        <v>397396000</v>
      </c>
      <c r="R154">
        <v>120670724096</v>
      </c>
      <c r="S154">
        <v>120670.72409600001</v>
      </c>
      <c r="T154" s="3" t="s">
        <v>399</v>
      </c>
      <c r="U154" s="3" t="s">
        <v>1071</v>
      </c>
      <c r="V154" s="3" t="s">
        <v>366</v>
      </c>
      <c r="W154" s="3" t="s">
        <v>34</v>
      </c>
      <c r="X154">
        <v>0</v>
      </c>
      <c r="Y154">
        <v>1</v>
      </c>
      <c r="Z154">
        <v>0</v>
      </c>
      <c r="AA154" s="3" t="s">
        <v>34</v>
      </c>
      <c r="AB154" s="3" t="s">
        <v>115</v>
      </c>
      <c r="AC154" s="3" t="s">
        <v>35</v>
      </c>
      <c r="AD154" s="3" t="s">
        <v>391</v>
      </c>
      <c r="AE154">
        <v>0</v>
      </c>
      <c r="AF154">
        <v>18.845506</v>
      </c>
      <c r="AG154">
        <v>14</v>
      </c>
    </row>
    <row r="155" spans="1:35" x14ac:dyDescent="0.25">
      <c r="A155" s="3" t="s">
        <v>1072</v>
      </c>
      <c r="B155">
        <v>212.62</v>
      </c>
      <c r="C155" s="3" t="s">
        <v>360</v>
      </c>
      <c r="D155" s="3" t="s">
        <v>360</v>
      </c>
      <c r="E155">
        <v>0.21</v>
      </c>
      <c r="F155">
        <v>0</v>
      </c>
      <c r="G155">
        <v>7</v>
      </c>
      <c r="H155" s="3" t="s">
        <v>454</v>
      </c>
      <c r="I155">
        <v>0</v>
      </c>
      <c r="J155" s="3" t="s">
        <v>1073</v>
      </c>
      <c r="K155">
        <v>235</v>
      </c>
      <c r="L155">
        <v>3.3</v>
      </c>
      <c r="M155">
        <v>4.2127999999999999E-2</v>
      </c>
      <c r="N155">
        <v>0.105258</v>
      </c>
      <c r="O155" s="3" t="s">
        <v>1074</v>
      </c>
      <c r="P155" s="3" t="s">
        <v>105</v>
      </c>
      <c r="Q155">
        <v>168251008</v>
      </c>
      <c r="R155">
        <v>40808579072</v>
      </c>
      <c r="S155">
        <v>40808.579072</v>
      </c>
      <c r="T155" s="3" t="s">
        <v>399</v>
      </c>
      <c r="U155" s="3" t="s">
        <v>1075</v>
      </c>
      <c r="V155" s="3" t="s">
        <v>366</v>
      </c>
      <c r="W155" s="3" t="s">
        <v>34</v>
      </c>
      <c r="X155">
        <v>0</v>
      </c>
      <c r="Y155">
        <v>1</v>
      </c>
      <c r="Z155">
        <v>0</v>
      </c>
      <c r="AA155" s="3" t="s">
        <v>34</v>
      </c>
      <c r="AB155" s="3" t="s">
        <v>390</v>
      </c>
      <c r="AC155" s="3" t="s">
        <v>35</v>
      </c>
      <c r="AD155" s="3" t="s">
        <v>391</v>
      </c>
      <c r="AE155">
        <v>0</v>
      </c>
      <c r="AF155">
        <v>16.604475999999998</v>
      </c>
      <c r="AG155">
        <v>23</v>
      </c>
    </row>
    <row r="156" spans="1:35" x14ac:dyDescent="0.25">
      <c r="A156" s="3" t="s">
        <v>1076</v>
      </c>
      <c r="B156">
        <v>172.65</v>
      </c>
      <c r="C156" s="3" t="s">
        <v>360</v>
      </c>
      <c r="D156" s="3" t="s">
        <v>360</v>
      </c>
      <c r="E156">
        <v>0.09</v>
      </c>
      <c r="F156">
        <v>0.24</v>
      </c>
      <c r="G156">
        <v>7</v>
      </c>
      <c r="H156" s="3" t="s">
        <v>454</v>
      </c>
      <c r="I156">
        <v>0</v>
      </c>
      <c r="J156" s="3" t="s">
        <v>1077</v>
      </c>
      <c r="K156">
        <v>200</v>
      </c>
      <c r="L156">
        <v>3</v>
      </c>
      <c r="M156">
        <v>4.4999999999999998E-2</v>
      </c>
      <c r="N156">
        <v>0.158413</v>
      </c>
      <c r="O156" s="3" t="s">
        <v>1078</v>
      </c>
      <c r="P156" s="3" t="s">
        <v>105</v>
      </c>
      <c r="Q156">
        <v>165144992</v>
      </c>
      <c r="R156">
        <v>28512282624</v>
      </c>
      <c r="S156">
        <v>28512.282623999999</v>
      </c>
      <c r="T156" s="3" t="s">
        <v>382</v>
      </c>
      <c r="U156" s="3" t="s">
        <v>1079</v>
      </c>
      <c r="V156" s="3" t="s">
        <v>366</v>
      </c>
      <c r="W156" s="3" t="s">
        <v>34</v>
      </c>
      <c r="X156">
        <v>0</v>
      </c>
      <c r="Y156">
        <v>1</v>
      </c>
      <c r="Z156">
        <v>0</v>
      </c>
      <c r="AA156" s="3" t="s">
        <v>34</v>
      </c>
      <c r="AB156" s="3" t="s">
        <v>390</v>
      </c>
      <c r="AC156" s="3" t="s">
        <v>35</v>
      </c>
      <c r="AD156" s="3" t="s">
        <v>391</v>
      </c>
      <c r="AE156">
        <v>0</v>
      </c>
      <c r="AF156">
        <v>19.637671999999998</v>
      </c>
      <c r="AG156">
        <v>24</v>
      </c>
    </row>
    <row r="157" spans="1:35" x14ac:dyDescent="0.25">
      <c r="A157" s="3" t="s">
        <v>1080</v>
      </c>
      <c r="B157">
        <v>79.959999999999994</v>
      </c>
      <c r="C157" s="3" t="s">
        <v>360</v>
      </c>
      <c r="D157" s="3" t="s">
        <v>360</v>
      </c>
      <c r="E157">
        <v>0.69</v>
      </c>
      <c r="F157">
        <v>0.77</v>
      </c>
      <c r="G157">
        <v>6</v>
      </c>
      <c r="H157" s="3" t="s">
        <v>524</v>
      </c>
      <c r="I157">
        <v>92282</v>
      </c>
      <c r="J157" s="3" t="s">
        <v>34</v>
      </c>
      <c r="O157" s="3" t="s">
        <v>1081</v>
      </c>
      <c r="P157" s="3" t="s">
        <v>1082</v>
      </c>
      <c r="Q157">
        <v>1565229952</v>
      </c>
      <c r="R157">
        <v>125155786752</v>
      </c>
      <c r="S157">
        <v>14472.892680999999</v>
      </c>
      <c r="T157" s="3" t="s">
        <v>1083</v>
      </c>
      <c r="U157" s="3" t="s">
        <v>1084</v>
      </c>
      <c r="V157" s="3" t="s">
        <v>366</v>
      </c>
      <c r="W157" s="3" t="s">
        <v>1085</v>
      </c>
      <c r="X157">
        <v>853285.15</v>
      </c>
      <c r="Y157">
        <v>8.6476000000000006</v>
      </c>
      <c r="Z157">
        <v>0</v>
      </c>
      <c r="AA157" s="3" t="s">
        <v>34</v>
      </c>
      <c r="AB157" s="3" t="s">
        <v>34</v>
      </c>
      <c r="AC157" s="3" t="s">
        <v>1086</v>
      </c>
      <c r="AD157" s="3" t="s">
        <v>1087</v>
      </c>
      <c r="AE157">
        <v>0</v>
      </c>
    </row>
    <row r="158" spans="1:35" x14ac:dyDescent="0.25">
      <c r="A158" s="3" t="s">
        <v>1088</v>
      </c>
      <c r="B158">
        <v>276.64</v>
      </c>
      <c r="C158" s="3" t="s">
        <v>360</v>
      </c>
      <c r="D158" s="3" t="s">
        <v>360</v>
      </c>
      <c r="E158">
        <v>0.89</v>
      </c>
      <c r="F158">
        <v>0.98</v>
      </c>
      <c r="G158">
        <v>3</v>
      </c>
      <c r="H158" s="3" t="s">
        <v>371</v>
      </c>
      <c r="I158">
        <v>0</v>
      </c>
      <c r="J158" s="3" t="s">
        <v>1089</v>
      </c>
      <c r="K158">
        <v>300</v>
      </c>
      <c r="L158">
        <v>2.8</v>
      </c>
      <c r="M158">
        <v>3.7332999999999998E-2</v>
      </c>
      <c r="N158">
        <v>8.4442000000000003E-2</v>
      </c>
      <c r="O158" s="3" t="s">
        <v>1090</v>
      </c>
      <c r="P158" s="3" t="s">
        <v>105</v>
      </c>
      <c r="Q158">
        <v>377096000</v>
      </c>
      <c r="R158">
        <v>104319844352</v>
      </c>
      <c r="S158">
        <v>104319.844352</v>
      </c>
      <c r="T158" s="3" t="s">
        <v>399</v>
      </c>
      <c r="U158" s="3" t="s">
        <v>1091</v>
      </c>
      <c r="V158" s="3" t="s">
        <v>366</v>
      </c>
      <c r="W158" s="3" t="s">
        <v>34</v>
      </c>
      <c r="X158">
        <v>0</v>
      </c>
      <c r="Y158">
        <v>1</v>
      </c>
      <c r="Z158">
        <v>0</v>
      </c>
      <c r="AA158" s="3" t="s">
        <v>34</v>
      </c>
      <c r="AB158" s="3" t="s">
        <v>115</v>
      </c>
      <c r="AC158" s="3" t="s">
        <v>35</v>
      </c>
      <c r="AD158" s="3" t="s">
        <v>391</v>
      </c>
      <c r="AE158">
        <v>0</v>
      </c>
      <c r="AF158">
        <v>18.381398999999998</v>
      </c>
      <c r="AG158">
        <v>26</v>
      </c>
    </row>
    <row r="159" spans="1:35" x14ac:dyDescent="0.25">
      <c r="A159" s="3" t="s">
        <v>60</v>
      </c>
      <c r="B159">
        <v>4.5199999999999996</v>
      </c>
      <c r="C159" s="3" t="s">
        <v>360</v>
      </c>
      <c r="D159" s="3" t="s">
        <v>360</v>
      </c>
      <c r="E159">
        <v>0.01</v>
      </c>
      <c r="F159">
        <v>0</v>
      </c>
      <c r="G159">
        <v>7</v>
      </c>
      <c r="H159" s="3" t="s">
        <v>454</v>
      </c>
      <c r="I159">
        <v>509421</v>
      </c>
      <c r="J159" s="3" t="s">
        <v>1092</v>
      </c>
      <c r="K159">
        <v>12.5</v>
      </c>
      <c r="L159">
        <v>0.2</v>
      </c>
      <c r="M159">
        <v>4.8000000000000001E-2</v>
      </c>
      <c r="N159">
        <v>1.765487</v>
      </c>
      <c r="O159" s="3" t="s">
        <v>204</v>
      </c>
      <c r="P159" s="3" t="s">
        <v>105</v>
      </c>
      <c r="Q159">
        <v>644881024</v>
      </c>
      <c r="R159">
        <v>2914862336</v>
      </c>
      <c r="S159">
        <v>2914.8623360000001</v>
      </c>
      <c r="T159" s="3" t="s">
        <v>399</v>
      </c>
      <c r="U159" s="3" t="s">
        <v>1093</v>
      </c>
      <c r="V159" s="3" t="s">
        <v>406</v>
      </c>
      <c r="W159" s="3" t="s">
        <v>1094</v>
      </c>
      <c r="X159">
        <v>2302582.92</v>
      </c>
      <c r="Y159">
        <v>1</v>
      </c>
      <c r="Z159">
        <v>606000</v>
      </c>
      <c r="AA159" s="3" t="s">
        <v>1095</v>
      </c>
      <c r="AB159" s="3" t="s">
        <v>1096</v>
      </c>
      <c r="AC159" s="3" t="s">
        <v>1097</v>
      </c>
      <c r="AD159" s="3" t="s">
        <v>390</v>
      </c>
      <c r="AE159">
        <v>53916</v>
      </c>
      <c r="AF159">
        <v>243700.32</v>
      </c>
      <c r="AG159">
        <v>96000</v>
      </c>
      <c r="AH159">
        <v>17.891822999999999</v>
      </c>
      <c r="AI159">
        <v>13</v>
      </c>
    </row>
    <row r="160" spans="1:35" x14ac:dyDescent="0.25">
      <c r="A160" s="3" t="s">
        <v>63</v>
      </c>
      <c r="B160">
        <v>29.07</v>
      </c>
      <c r="C160" s="3" t="s">
        <v>360</v>
      </c>
      <c r="D160" s="3" t="s">
        <v>360</v>
      </c>
      <c r="E160">
        <v>0.61</v>
      </c>
      <c r="F160">
        <v>0</v>
      </c>
      <c r="G160">
        <v>4</v>
      </c>
      <c r="H160" s="3" t="s">
        <v>379</v>
      </c>
      <c r="I160">
        <v>10338</v>
      </c>
      <c r="J160" s="3" t="s">
        <v>1098</v>
      </c>
      <c r="K160">
        <v>37</v>
      </c>
      <c r="L160">
        <v>0.4</v>
      </c>
      <c r="M160">
        <v>4.3242999999999997E-2</v>
      </c>
      <c r="N160">
        <v>0.27278999999999998</v>
      </c>
      <c r="O160" s="3" t="s">
        <v>1099</v>
      </c>
      <c r="P160" s="3" t="s">
        <v>105</v>
      </c>
      <c r="Q160">
        <v>637456000</v>
      </c>
      <c r="R160">
        <v>18588608512</v>
      </c>
      <c r="S160">
        <v>18588.608511999999</v>
      </c>
      <c r="T160" s="3" t="s">
        <v>382</v>
      </c>
      <c r="U160" s="3" t="s">
        <v>1100</v>
      </c>
      <c r="V160" s="3" t="s">
        <v>366</v>
      </c>
      <c r="W160" s="3" t="s">
        <v>1101</v>
      </c>
      <c r="X160">
        <v>300525.65999999997</v>
      </c>
      <c r="Y160">
        <v>1</v>
      </c>
      <c r="Z160">
        <v>-10300</v>
      </c>
      <c r="AA160" s="3" t="s">
        <v>1102</v>
      </c>
      <c r="AB160" s="3" t="s">
        <v>115</v>
      </c>
      <c r="AC160" s="3" t="s">
        <v>35</v>
      </c>
      <c r="AD160" s="3" t="s">
        <v>391</v>
      </c>
      <c r="AE160">
        <v>0</v>
      </c>
      <c r="AF160">
        <v>18.926265999999998</v>
      </c>
      <c r="AG160">
        <v>4</v>
      </c>
    </row>
    <row r="161" spans="1:33" x14ac:dyDescent="0.25">
      <c r="A161" s="3" t="s">
        <v>1103</v>
      </c>
      <c r="B161">
        <v>46.18</v>
      </c>
      <c r="C161" s="3" t="s">
        <v>360</v>
      </c>
      <c r="D161" s="3" t="s">
        <v>360</v>
      </c>
      <c r="E161">
        <v>0.14000000000000001</v>
      </c>
      <c r="F161">
        <v>0.15</v>
      </c>
      <c r="G161">
        <v>7</v>
      </c>
      <c r="H161" s="3" t="s">
        <v>454</v>
      </c>
      <c r="I161">
        <v>0</v>
      </c>
      <c r="J161" s="3" t="s">
        <v>34</v>
      </c>
      <c r="O161" s="3" t="s">
        <v>1104</v>
      </c>
      <c r="P161" s="3" t="s">
        <v>403</v>
      </c>
      <c r="Q161">
        <v>33093500</v>
      </c>
      <c r="R161">
        <v>1528257792</v>
      </c>
      <c r="S161">
        <v>1790.7871950000001</v>
      </c>
      <c r="T161" s="3" t="s">
        <v>441</v>
      </c>
      <c r="U161" s="3" t="s">
        <v>1105</v>
      </c>
      <c r="V161" s="3" t="s">
        <v>443</v>
      </c>
      <c r="W161" s="3" t="s">
        <v>34</v>
      </c>
      <c r="X161">
        <v>0</v>
      </c>
      <c r="Y161">
        <v>0.85340000000000005</v>
      </c>
      <c r="Z161">
        <v>0</v>
      </c>
      <c r="AA161" s="3" t="s">
        <v>34</v>
      </c>
      <c r="AB161" s="3" t="s">
        <v>34</v>
      </c>
      <c r="AC161" s="3" t="s">
        <v>35</v>
      </c>
      <c r="AD161" s="3" t="s">
        <v>391</v>
      </c>
      <c r="AE161">
        <v>0</v>
      </c>
    </row>
    <row r="162" spans="1:33" x14ac:dyDescent="0.25">
      <c r="A162" s="3" t="s">
        <v>1106</v>
      </c>
      <c r="B162">
        <v>36.86</v>
      </c>
      <c r="C162" s="3" t="s">
        <v>360</v>
      </c>
      <c r="D162" s="3" t="s">
        <v>360</v>
      </c>
      <c r="E162">
        <v>0.42</v>
      </c>
      <c r="F162">
        <v>0.7</v>
      </c>
      <c r="G162">
        <v>5</v>
      </c>
      <c r="H162" s="3" t="s">
        <v>361</v>
      </c>
      <c r="I162">
        <v>0</v>
      </c>
      <c r="J162" s="3" t="s">
        <v>34</v>
      </c>
      <c r="O162" s="3" t="s">
        <v>1107</v>
      </c>
      <c r="P162" s="3" t="s">
        <v>103</v>
      </c>
      <c r="Q162">
        <v>70521600</v>
      </c>
      <c r="R162">
        <v>6825181696</v>
      </c>
      <c r="S162">
        <v>5394.5476570000001</v>
      </c>
      <c r="T162" s="3" t="s">
        <v>1108</v>
      </c>
      <c r="U162" s="3" t="s">
        <v>1109</v>
      </c>
      <c r="V162" s="3" t="s">
        <v>406</v>
      </c>
      <c r="W162" s="3" t="s">
        <v>34</v>
      </c>
      <c r="X162">
        <v>0</v>
      </c>
      <c r="Y162">
        <v>1.2652000000000001</v>
      </c>
      <c r="Z162">
        <v>0</v>
      </c>
      <c r="AA162" s="3" t="s">
        <v>34</v>
      </c>
      <c r="AB162" s="3" t="s">
        <v>34</v>
      </c>
      <c r="AC162" s="3" t="s">
        <v>35</v>
      </c>
      <c r="AD162" s="3" t="s">
        <v>391</v>
      </c>
      <c r="AE162">
        <v>0</v>
      </c>
    </row>
    <row r="163" spans="1:33" x14ac:dyDescent="0.25">
      <c r="A163" s="3" t="s">
        <v>1110</v>
      </c>
      <c r="B163">
        <v>774.39</v>
      </c>
      <c r="C163" s="3" t="s">
        <v>360</v>
      </c>
      <c r="D163" s="3" t="s">
        <v>360</v>
      </c>
      <c r="E163">
        <v>1</v>
      </c>
      <c r="F163">
        <v>0.93</v>
      </c>
      <c r="G163">
        <v>3</v>
      </c>
      <c r="H163" s="3" t="s">
        <v>371</v>
      </c>
      <c r="I163">
        <v>0</v>
      </c>
      <c r="J163" s="3" t="s">
        <v>1111</v>
      </c>
      <c r="K163">
        <v>950</v>
      </c>
      <c r="L163">
        <v>9.65</v>
      </c>
      <c r="M163">
        <v>4.0632000000000001E-2</v>
      </c>
      <c r="N163">
        <v>0.226772</v>
      </c>
      <c r="O163" s="3" t="s">
        <v>1112</v>
      </c>
      <c r="P163" s="3" t="s">
        <v>105</v>
      </c>
      <c r="Q163">
        <v>1001769984</v>
      </c>
      <c r="R163">
        <v>775760642048</v>
      </c>
      <c r="S163">
        <v>775760.64204800001</v>
      </c>
      <c r="T163" s="3" t="s">
        <v>382</v>
      </c>
      <c r="U163" s="3" t="s">
        <v>1113</v>
      </c>
      <c r="V163" s="3" t="s">
        <v>366</v>
      </c>
      <c r="W163" s="3" t="s">
        <v>34</v>
      </c>
      <c r="X163">
        <v>0</v>
      </c>
      <c r="Y163">
        <v>1</v>
      </c>
      <c r="Z163">
        <v>0</v>
      </c>
      <c r="AA163" s="3" t="s">
        <v>34</v>
      </c>
      <c r="AB163" s="3" t="s">
        <v>115</v>
      </c>
      <c r="AC163" s="3" t="s">
        <v>35</v>
      </c>
      <c r="AD163" s="3" t="s">
        <v>391</v>
      </c>
      <c r="AE163">
        <v>0</v>
      </c>
      <c r="AF163">
        <v>19.981024999999999</v>
      </c>
      <c r="AG163">
        <v>35</v>
      </c>
    </row>
    <row r="164" spans="1:33" x14ac:dyDescent="0.25">
      <c r="A164" s="3" t="s">
        <v>1114</v>
      </c>
      <c r="B164">
        <v>482.51</v>
      </c>
      <c r="C164" s="3" t="s">
        <v>360</v>
      </c>
      <c r="D164" s="3" t="s">
        <v>360</v>
      </c>
      <c r="E164">
        <v>0.59</v>
      </c>
      <c r="F164">
        <v>0.05</v>
      </c>
      <c r="G164">
        <v>4</v>
      </c>
      <c r="H164" s="3" t="s">
        <v>379</v>
      </c>
      <c r="I164">
        <v>0</v>
      </c>
      <c r="J164" s="3" t="s">
        <v>1115</v>
      </c>
      <c r="K164">
        <v>540</v>
      </c>
      <c r="L164">
        <v>3.5</v>
      </c>
      <c r="M164">
        <v>2.5926000000000001E-2</v>
      </c>
      <c r="N164">
        <v>0.119148</v>
      </c>
      <c r="O164" s="3" t="s">
        <v>1116</v>
      </c>
      <c r="P164" s="3" t="s">
        <v>105</v>
      </c>
      <c r="Q164">
        <v>40843400</v>
      </c>
      <c r="R164">
        <v>19707348992</v>
      </c>
      <c r="S164">
        <v>19707.348991999999</v>
      </c>
      <c r="T164" s="3" t="s">
        <v>399</v>
      </c>
      <c r="U164" s="3" t="s">
        <v>1117</v>
      </c>
      <c r="V164" s="3" t="s">
        <v>366</v>
      </c>
      <c r="W164" s="3" t="s">
        <v>34</v>
      </c>
      <c r="X164">
        <v>0</v>
      </c>
      <c r="Y164">
        <v>1</v>
      </c>
      <c r="Z164">
        <v>0</v>
      </c>
      <c r="AA164" s="3" t="s">
        <v>34</v>
      </c>
      <c r="AB164" s="3" t="s">
        <v>115</v>
      </c>
      <c r="AC164" s="3" t="s">
        <v>35</v>
      </c>
      <c r="AD164" s="3" t="s">
        <v>391</v>
      </c>
      <c r="AE164">
        <v>0</v>
      </c>
      <c r="AF164">
        <v>18.88326</v>
      </c>
      <c r="AG164">
        <v>19</v>
      </c>
    </row>
    <row r="165" spans="1:33" x14ac:dyDescent="0.25">
      <c r="A165" s="3" t="s">
        <v>39</v>
      </c>
      <c r="B165">
        <v>46.63</v>
      </c>
      <c r="C165" s="3" t="s">
        <v>360</v>
      </c>
      <c r="D165" s="3" t="s">
        <v>360</v>
      </c>
      <c r="E165">
        <v>0.9</v>
      </c>
      <c r="F165">
        <v>0.48</v>
      </c>
      <c r="G165">
        <v>2</v>
      </c>
      <c r="H165" s="3" t="s">
        <v>415</v>
      </c>
      <c r="I165">
        <v>33036</v>
      </c>
      <c r="J165" s="3" t="s">
        <v>1118</v>
      </c>
      <c r="K165">
        <v>60</v>
      </c>
      <c r="L165">
        <v>0.56000000000000005</v>
      </c>
      <c r="M165">
        <v>3.7332999999999998E-2</v>
      </c>
      <c r="N165">
        <v>0.28672500000000001</v>
      </c>
      <c r="O165" s="3" t="s">
        <v>1119</v>
      </c>
      <c r="P165" s="3" t="s">
        <v>105</v>
      </c>
      <c r="Q165">
        <v>1884349952</v>
      </c>
      <c r="R165">
        <v>87867236352</v>
      </c>
      <c r="S165">
        <v>87867.236352000007</v>
      </c>
      <c r="T165" s="3" t="s">
        <v>399</v>
      </c>
      <c r="U165" s="3" t="s">
        <v>1120</v>
      </c>
      <c r="V165" s="3" t="s">
        <v>366</v>
      </c>
      <c r="W165" s="3" t="s">
        <v>1121</v>
      </c>
      <c r="X165">
        <v>1540468.71</v>
      </c>
      <c r="Y165">
        <v>1</v>
      </c>
      <c r="Z165">
        <v>0</v>
      </c>
      <c r="AA165" s="3" t="s">
        <v>34</v>
      </c>
      <c r="AB165" s="3" t="s">
        <v>115</v>
      </c>
      <c r="AC165" s="3" t="s">
        <v>1122</v>
      </c>
      <c r="AD165" s="3" t="s">
        <v>1123</v>
      </c>
      <c r="AE165">
        <v>0</v>
      </c>
      <c r="AF165">
        <v>16.163295999999999</v>
      </c>
      <c r="AG165">
        <v>4</v>
      </c>
    </row>
    <row r="166" spans="1:33" x14ac:dyDescent="0.25">
      <c r="A166" s="3" t="s">
        <v>1124</v>
      </c>
      <c r="B166">
        <v>203.8</v>
      </c>
      <c r="C166" s="3" t="s">
        <v>360</v>
      </c>
      <c r="D166" s="3" t="s">
        <v>360</v>
      </c>
      <c r="E166">
        <v>0.24</v>
      </c>
      <c r="F166">
        <v>1</v>
      </c>
      <c r="G166">
        <v>9</v>
      </c>
      <c r="H166" s="3" t="s">
        <v>428</v>
      </c>
      <c r="I166">
        <v>0</v>
      </c>
      <c r="J166" s="3" t="s">
        <v>1125</v>
      </c>
      <c r="K166">
        <v>220</v>
      </c>
      <c r="L166">
        <v>2.37</v>
      </c>
      <c r="M166">
        <v>4.3090999999999997E-2</v>
      </c>
      <c r="N166">
        <v>7.9490000000000005E-2</v>
      </c>
      <c r="O166" s="3" t="s">
        <v>1126</v>
      </c>
      <c r="P166" s="3" t="s">
        <v>105</v>
      </c>
      <c r="Q166">
        <v>652123008</v>
      </c>
      <c r="R166">
        <v>132902674432</v>
      </c>
      <c r="S166">
        <v>132902.674432</v>
      </c>
      <c r="T166" s="3" t="s">
        <v>399</v>
      </c>
      <c r="U166" s="3" t="s">
        <v>1127</v>
      </c>
      <c r="V166" s="3" t="s">
        <v>366</v>
      </c>
      <c r="W166" s="3" t="s">
        <v>34</v>
      </c>
      <c r="X166">
        <v>0</v>
      </c>
      <c r="Y166">
        <v>1</v>
      </c>
      <c r="Z166">
        <v>0</v>
      </c>
      <c r="AA166" s="3" t="s">
        <v>34</v>
      </c>
      <c r="AB166" s="3" t="s">
        <v>115</v>
      </c>
      <c r="AC166" s="3" t="s">
        <v>35</v>
      </c>
      <c r="AD166" s="3" t="s">
        <v>391</v>
      </c>
      <c r="AE166">
        <v>0</v>
      </c>
      <c r="AF166">
        <v>19.047616999999999</v>
      </c>
      <c r="AG166">
        <v>39</v>
      </c>
    </row>
    <row r="167" spans="1:33" x14ac:dyDescent="0.25">
      <c r="A167" s="3" t="s">
        <v>1128</v>
      </c>
      <c r="B167">
        <v>356.51</v>
      </c>
      <c r="C167" s="3" t="s">
        <v>360</v>
      </c>
      <c r="D167" s="3" t="s">
        <v>360</v>
      </c>
      <c r="E167">
        <v>0.92</v>
      </c>
      <c r="F167">
        <v>0.5</v>
      </c>
      <c r="G167">
        <v>2</v>
      </c>
      <c r="H167" s="3" t="s">
        <v>415</v>
      </c>
      <c r="I167">
        <v>0</v>
      </c>
      <c r="J167" s="3" t="s">
        <v>1129</v>
      </c>
      <c r="K167">
        <v>420</v>
      </c>
      <c r="L167">
        <v>4.8</v>
      </c>
      <c r="M167">
        <v>4.5713999999999998E-2</v>
      </c>
      <c r="N167">
        <v>0.178088</v>
      </c>
      <c r="O167" s="3" t="s">
        <v>1130</v>
      </c>
      <c r="P167" s="3" t="s">
        <v>105</v>
      </c>
      <c r="Q167">
        <v>72390096</v>
      </c>
      <c r="R167">
        <v>25807794176</v>
      </c>
      <c r="S167">
        <v>25807.794175999999</v>
      </c>
      <c r="T167" s="3" t="s">
        <v>399</v>
      </c>
      <c r="U167" s="3" t="s">
        <v>1131</v>
      </c>
      <c r="V167" s="3" t="s">
        <v>366</v>
      </c>
      <c r="W167" s="3" t="s">
        <v>34</v>
      </c>
      <c r="X167">
        <v>0</v>
      </c>
      <c r="Y167">
        <v>1</v>
      </c>
      <c r="Z167">
        <v>0</v>
      </c>
      <c r="AA167" s="3" t="s">
        <v>34</v>
      </c>
      <c r="AB167" s="3" t="s">
        <v>115</v>
      </c>
      <c r="AC167" s="3" t="s">
        <v>35</v>
      </c>
      <c r="AD167" s="3" t="s">
        <v>391</v>
      </c>
      <c r="AE167">
        <v>0</v>
      </c>
      <c r="AF167">
        <v>17.945924999999999</v>
      </c>
      <c r="AG167">
        <v>19</v>
      </c>
    </row>
    <row r="168" spans="1:33" x14ac:dyDescent="0.25">
      <c r="A168" s="3" t="s">
        <v>49</v>
      </c>
      <c r="B168">
        <v>231.59</v>
      </c>
      <c r="C168" s="3" t="s">
        <v>360</v>
      </c>
      <c r="D168" s="3" t="s">
        <v>360</v>
      </c>
      <c r="E168">
        <v>0.38</v>
      </c>
      <c r="F168">
        <v>0.89</v>
      </c>
      <c r="G168">
        <v>6</v>
      </c>
      <c r="H168" s="3" t="s">
        <v>524</v>
      </c>
      <c r="I168">
        <v>4447</v>
      </c>
      <c r="J168" s="3" t="s">
        <v>1132</v>
      </c>
      <c r="K168">
        <v>250</v>
      </c>
      <c r="L168">
        <v>3</v>
      </c>
      <c r="M168">
        <v>4.8000000000000001E-2</v>
      </c>
      <c r="N168">
        <v>7.9493999999999995E-2</v>
      </c>
      <c r="O168" s="3" t="s">
        <v>1133</v>
      </c>
      <c r="P168" s="3" t="s">
        <v>105</v>
      </c>
      <c r="Q168">
        <v>1687640064</v>
      </c>
      <c r="R168">
        <v>508198780928</v>
      </c>
      <c r="S168">
        <v>508198.78092799999</v>
      </c>
      <c r="T168" s="3" t="s">
        <v>399</v>
      </c>
      <c r="U168" s="3" t="s">
        <v>1134</v>
      </c>
      <c r="V168" s="3" t="s">
        <v>366</v>
      </c>
      <c r="W168" s="3" t="s">
        <v>1135</v>
      </c>
      <c r="X168">
        <v>1029880.71</v>
      </c>
      <c r="Y168">
        <v>1</v>
      </c>
      <c r="Z168">
        <v>-3100</v>
      </c>
      <c r="AA168" s="3" t="s">
        <v>1136</v>
      </c>
      <c r="AB168" s="3" t="s">
        <v>115</v>
      </c>
      <c r="AC168" s="3" t="s">
        <v>1137</v>
      </c>
      <c r="AD168" s="3" t="s">
        <v>1138</v>
      </c>
      <c r="AE168">
        <v>-1400</v>
      </c>
      <c r="AF168">
        <v>18.603864000000002</v>
      </c>
      <c r="AG168">
        <v>34</v>
      </c>
    </row>
    <row r="169" spans="1:33" x14ac:dyDescent="0.25">
      <c r="A169" s="3" t="s">
        <v>1139</v>
      </c>
      <c r="B169">
        <v>17.670000000000002</v>
      </c>
      <c r="C169" s="3" t="s">
        <v>360</v>
      </c>
      <c r="D169" s="3" t="s">
        <v>360</v>
      </c>
      <c r="E169">
        <v>0.4</v>
      </c>
      <c r="F169">
        <v>0</v>
      </c>
      <c r="G169">
        <v>4</v>
      </c>
      <c r="H169" s="3" t="s">
        <v>379</v>
      </c>
      <c r="I169">
        <v>0</v>
      </c>
      <c r="J169" s="3" t="s">
        <v>1140</v>
      </c>
      <c r="K169">
        <v>25</v>
      </c>
      <c r="L169">
        <v>0.2</v>
      </c>
      <c r="M169">
        <v>3.2000000000000001E-2</v>
      </c>
      <c r="N169">
        <v>0.414827</v>
      </c>
      <c r="O169" s="3" t="s">
        <v>1141</v>
      </c>
      <c r="P169" s="3" t="s">
        <v>105</v>
      </c>
      <c r="Q169">
        <v>143680000</v>
      </c>
      <c r="R169">
        <v>2538825728</v>
      </c>
      <c r="S169">
        <v>2538.8257279999998</v>
      </c>
      <c r="T169" s="3" t="s">
        <v>382</v>
      </c>
      <c r="U169" s="3" t="s">
        <v>1142</v>
      </c>
      <c r="V169" s="3" t="s">
        <v>406</v>
      </c>
      <c r="W169" s="3" t="s">
        <v>34</v>
      </c>
      <c r="X169">
        <v>0</v>
      </c>
      <c r="Y169">
        <v>1</v>
      </c>
      <c r="Z169">
        <v>0</v>
      </c>
      <c r="AA169" s="3" t="s">
        <v>34</v>
      </c>
      <c r="AB169" s="3" t="s">
        <v>115</v>
      </c>
      <c r="AC169" s="3" t="s">
        <v>35</v>
      </c>
      <c r="AD169" s="3" t="s">
        <v>391</v>
      </c>
      <c r="AE169">
        <v>0</v>
      </c>
    </row>
    <row r="170" spans="1:33" x14ac:dyDescent="0.25">
      <c r="A170" s="3" t="s">
        <v>1143</v>
      </c>
      <c r="B170">
        <v>207.97</v>
      </c>
      <c r="C170" s="3" t="s">
        <v>360</v>
      </c>
      <c r="D170" s="3" t="s">
        <v>360</v>
      </c>
      <c r="E170">
        <v>0.96</v>
      </c>
      <c r="F170">
        <v>0.88</v>
      </c>
      <c r="G170">
        <v>3</v>
      </c>
      <c r="H170" s="3" t="s">
        <v>371</v>
      </c>
      <c r="I170">
        <v>0</v>
      </c>
      <c r="J170" s="3" t="s">
        <v>1144</v>
      </c>
      <c r="K170">
        <v>230</v>
      </c>
      <c r="L170">
        <v>1.1499999999999999</v>
      </c>
      <c r="M170">
        <v>0.02</v>
      </c>
      <c r="N170">
        <v>0.105929</v>
      </c>
      <c r="O170" s="3" t="s">
        <v>1145</v>
      </c>
      <c r="P170" s="3" t="s">
        <v>105</v>
      </c>
      <c r="Q170">
        <v>161350000</v>
      </c>
      <c r="R170">
        <v>33555959808</v>
      </c>
      <c r="S170">
        <v>33555.959808</v>
      </c>
      <c r="T170" s="3" t="s">
        <v>382</v>
      </c>
      <c r="U170" s="3" t="s">
        <v>1146</v>
      </c>
      <c r="V170" s="3" t="s">
        <v>366</v>
      </c>
      <c r="W170" s="3" t="s">
        <v>34</v>
      </c>
      <c r="X170">
        <v>0</v>
      </c>
      <c r="Y170">
        <v>1</v>
      </c>
      <c r="Z170">
        <v>0</v>
      </c>
      <c r="AA170" s="3" t="s">
        <v>34</v>
      </c>
      <c r="AB170" s="3" t="s">
        <v>115</v>
      </c>
      <c r="AC170" s="3" t="s">
        <v>35</v>
      </c>
      <c r="AD170" s="3" t="s">
        <v>391</v>
      </c>
      <c r="AE170">
        <v>0</v>
      </c>
      <c r="AF170">
        <v>17.24053</v>
      </c>
      <c r="AG170">
        <v>22</v>
      </c>
    </row>
    <row r="171" spans="1:33" x14ac:dyDescent="0.25">
      <c r="A171" s="3" t="s">
        <v>1147</v>
      </c>
      <c r="B171">
        <v>217.77</v>
      </c>
      <c r="C171" s="3" t="s">
        <v>360</v>
      </c>
      <c r="D171" s="3" t="s">
        <v>360</v>
      </c>
      <c r="E171">
        <v>0.37</v>
      </c>
      <c r="F171">
        <v>0.28000000000000003</v>
      </c>
      <c r="G171">
        <v>5</v>
      </c>
      <c r="H171" s="3" t="s">
        <v>361</v>
      </c>
      <c r="I171">
        <v>0</v>
      </c>
      <c r="J171" s="3" t="s">
        <v>1148</v>
      </c>
      <c r="K171">
        <v>240</v>
      </c>
      <c r="L171">
        <v>1.75</v>
      </c>
      <c r="M171">
        <v>2.9166999999999998E-2</v>
      </c>
      <c r="N171">
        <v>0.10208</v>
      </c>
      <c r="O171" s="3" t="s">
        <v>1149</v>
      </c>
      <c r="P171" s="3" t="s">
        <v>105</v>
      </c>
      <c r="Q171">
        <v>111874000</v>
      </c>
      <c r="R171">
        <v>24362801152</v>
      </c>
      <c r="S171">
        <v>24362.801152</v>
      </c>
      <c r="T171" s="3" t="s">
        <v>382</v>
      </c>
      <c r="U171" s="3" t="s">
        <v>1150</v>
      </c>
      <c r="V171" s="3" t="s">
        <v>366</v>
      </c>
      <c r="W171" s="3" t="s">
        <v>34</v>
      </c>
      <c r="X171">
        <v>0</v>
      </c>
      <c r="Y171">
        <v>1</v>
      </c>
      <c r="Z171">
        <v>0</v>
      </c>
      <c r="AA171" s="3" t="s">
        <v>34</v>
      </c>
      <c r="AB171" s="3" t="s">
        <v>115</v>
      </c>
      <c r="AC171" s="3" t="s">
        <v>35</v>
      </c>
      <c r="AD171" s="3" t="s">
        <v>391</v>
      </c>
      <c r="AE171">
        <v>0</v>
      </c>
      <c r="AF171">
        <v>17.736902000000001</v>
      </c>
      <c r="AG171">
        <v>26</v>
      </c>
    </row>
    <row r="172" spans="1:33" x14ac:dyDescent="0.25">
      <c r="A172" s="3" t="s">
        <v>1151</v>
      </c>
      <c r="B172">
        <v>393.58</v>
      </c>
      <c r="C172" s="3" t="s">
        <v>360</v>
      </c>
      <c r="D172" s="3" t="s">
        <v>360</v>
      </c>
      <c r="E172">
        <v>0.5</v>
      </c>
      <c r="F172">
        <v>0</v>
      </c>
      <c r="G172">
        <v>4</v>
      </c>
      <c r="H172" s="3" t="s">
        <v>379</v>
      </c>
      <c r="I172">
        <v>0</v>
      </c>
      <c r="J172" s="3" t="s">
        <v>1152</v>
      </c>
      <c r="K172">
        <v>440</v>
      </c>
      <c r="L172">
        <v>5.2</v>
      </c>
      <c r="M172">
        <v>4.7273000000000003E-2</v>
      </c>
      <c r="N172">
        <v>0.11794300000000001</v>
      </c>
      <c r="O172" s="3" t="s">
        <v>1153</v>
      </c>
      <c r="P172" s="3" t="s">
        <v>105</v>
      </c>
      <c r="Q172">
        <v>61363400</v>
      </c>
      <c r="R172">
        <v>24151406592</v>
      </c>
      <c r="S172">
        <v>24151.406591999999</v>
      </c>
      <c r="T172" s="3" t="s">
        <v>399</v>
      </c>
      <c r="U172" s="3" t="s">
        <v>1154</v>
      </c>
      <c r="V172" s="3" t="s">
        <v>366</v>
      </c>
      <c r="W172" s="3" t="s">
        <v>34</v>
      </c>
      <c r="X172">
        <v>0</v>
      </c>
      <c r="Y172">
        <v>1</v>
      </c>
      <c r="Z172">
        <v>0</v>
      </c>
      <c r="AA172" s="3" t="s">
        <v>34</v>
      </c>
      <c r="AB172" s="3" t="s">
        <v>115</v>
      </c>
      <c r="AC172" s="3" t="s">
        <v>35</v>
      </c>
      <c r="AD172" s="3" t="s">
        <v>391</v>
      </c>
      <c r="AE172">
        <v>0</v>
      </c>
      <c r="AF172">
        <v>18.133489000000001</v>
      </c>
      <c r="AG172">
        <v>20</v>
      </c>
    </row>
    <row r="173" spans="1:33" x14ac:dyDescent="0.25">
      <c r="A173" s="3" t="s">
        <v>41</v>
      </c>
      <c r="B173">
        <v>268.43</v>
      </c>
      <c r="C173" s="3" t="s">
        <v>360</v>
      </c>
      <c r="D173" s="3" t="s">
        <v>360</v>
      </c>
      <c r="E173">
        <v>0.82</v>
      </c>
      <c r="F173">
        <v>1</v>
      </c>
      <c r="G173">
        <v>3</v>
      </c>
      <c r="H173" s="3" t="s">
        <v>371</v>
      </c>
      <c r="I173">
        <v>5471</v>
      </c>
      <c r="J173" s="3" t="s">
        <v>1155</v>
      </c>
      <c r="K173">
        <v>310</v>
      </c>
      <c r="L173">
        <v>3.6</v>
      </c>
      <c r="M173">
        <v>4.6452E-2</v>
      </c>
      <c r="N173">
        <v>0.154863</v>
      </c>
      <c r="O173" s="3" t="s">
        <v>1156</v>
      </c>
      <c r="P173" s="3" t="s">
        <v>105</v>
      </c>
      <c r="Q173">
        <v>189000000</v>
      </c>
      <c r="R173">
        <v>66570637312</v>
      </c>
      <c r="S173">
        <v>66570.637312000006</v>
      </c>
      <c r="T173" s="3" t="s">
        <v>382</v>
      </c>
      <c r="U173" s="3" t="s">
        <v>1157</v>
      </c>
      <c r="V173" s="3" t="s">
        <v>366</v>
      </c>
      <c r="W173" s="3" t="s">
        <v>1158</v>
      </c>
      <c r="X173">
        <v>1468580.49</v>
      </c>
      <c r="Y173">
        <v>1</v>
      </c>
      <c r="Z173">
        <v>-4300</v>
      </c>
      <c r="AA173" s="3" t="s">
        <v>1159</v>
      </c>
      <c r="AB173" s="3" t="s">
        <v>115</v>
      </c>
      <c r="AC173" s="3" t="s">
        <v>1160</v>
      </c>
      <c r="AD173" s="3" t="s">
        <v>1161</v>
      </c>
      <c r="AE173">
        <v>-2500</v>
      </c>
      <c r="AF173">
        <v>18.431719999999999</v>
      </c>
      <c r="AG173">
        <v>23</v>
      </c>
    </row>
    <row r="174" spans="1:33" x14ac:dyDescent="0.25">
      <c r="A174" s="3" t="s">
        <v>117</v>
      </c>
      <c r="B174">
        <v>82.88</v>
      </c>
      <c r="C174" s="3" t="s">
        <v>360</v>
      </c>
      <c r="D174" s="3" t="s">
        <v>360</v>
      </c>
      <c r="E174">
        <v>0.13</v>
      </c>
      <c r="F174">
        <v>0.18</v>
      </c>
      <c r="G174">
        <v>7</v>
      </c>
      <c r="H174" s="3" t="s">
        <v>454</v>
      </c>
      <c r="I174">
        <v>0</v>
      </c>
      <c r="J174" s="3" t="s">
        <v>1162</v>
      </c>
      <c r="K174">
        <v>110</v>
      </c>
      <c r="L174">
        <v>1.3</v>
      </c>
      <c r="M174">
        <v>4.7273000000000003E-2</v>
      </c>
      <c r="N174">
        <v>0.32722000000000001</v>
      </c>
      <c r="O174" s="3" t="s">
        <v>1163</v>
      </c>
      <c r="P174" s="3" t="s">
        <v>105</v>
      </c>
      <c r="Q174">
        <v>115672000</v>
      </c>
      <c r="R174">
        <v>9586894848</v>
      </c>
      <c r="S174">
        <v>9586.8948479999999</v>
      </c>
      <c r="T174" s="3" t="s">
        <v>382</v>
      </c>
      <c r="U174" s="3" t="s">
        <v>1164</v>
      </c>
      <c r="V174" s="3" t="s">
        <v>406</v>
      </c>
      <c r="W174" s="3" t="s">
        <v>34</v>
      </c>
      <c r="X174">
        <v>0</v>
      </c>
      <c r="Y174">
        <v>1</v>
      </c>
      <c r="Z174">
        <v>-5800</v>
      </c>
      <c r="AA174" s="3" t="s">
        <v>1165</v>
      </c>
      <c r="AB174" s="3" t="s">
        <v>115</v>
      </c>
      <c r="AC174" s="3" t="s">
        <v>35</v>
      </c>
      <c r="AD174" s="3" t="s">
        <v>391</v>
      </c>
      <c r="AE174">
        <v>-5800</v>
      </c>
      <c r="AF174">
        <v>19.72138</v>
      </c>
      <c r="AG174">
        <v>22</v>
      </c>
    </row>
    <row r="175" spans="1:33" x14ac:dyDescent="0.25">
      <c r="A175" s="3" t="s">
        <v>1166</v>
      </c>
      <c r="B175">
        <v>60.01</v>
      </c>
      <c r="C175" s="3" t="s">
        <v>360</v>
      </c>
      <c r="D175" s="3" t="s">
        <v>360</v>
      </c>
      <c r="E175">
        <v>0.21</v>
      </c>
      <c r="F175">
        <v>0.73</v>
      </c>
      <c r="G175">
        <v>8</v>
      </c>
      <c r="H175" s="3" t="s">
        <v>529</v>
      </c>
      <c r="I175">
        <v>0</v>
      </c>
      <c r="J175" s="3" t="s">
        <v>1167</v>
      </c>
      <c r="K175">
        <v>67.5</v>
      </c>
      <c r="L175">
        <v>1.1000000000000001</v>
      </c>
      <c r="M175">
        <v>4.8889000000000002E-2</v>
      </c>
      <c r="N175">
        <v>0.12481299999999999</v>
      </c>
      <c r="O175" s="3" t="s">
        <v>1168</v>
      </c>
      <c r="P175" s="3" t="s">
        <v>105</v>
      </c>
      <c r="Q175">
        <v>218551008</v>
      </c>
      <c r="R175">
        <v>13115245568</v>
      </c>
      <c r="S175">
        <v>13115.245568</v>
      </c>
      <c r="T175" s="3" t="s">
        <v>382</v>
      </c>
      <c r="U175" s="3" t="s">
        <v>1169</v>
      </c>
      <c r="V175" s="3" t="s">
        <v>366</v>
      </c>
      <c r="W175" s="3" t="s">
        <v>34</v>
      </c>
      <c r="X175">
        <v>0</v>
      </c>
      <c r="Y175">
        <v>1</v>
      </c>
      <c r="Z175">
        <v>0</v>
      </c>
      <c r="AA175" s="3" t="s">
        <v>34</v>
      </c>
      <c r="AB175" s="3" t="s">
        <v>390</v>
      </c>
      <c r="AC175" s="3" t="s">
        <v>35</v>
      </c>
      <c r="AD175" s="3" t="s">
        <v>391</v>
      </c>
      <c r="AE175">
        <v>0</v>
      </c>
      <c r="AF175">
        <v>16.050709000000001</v>
      </c>
      <c r="AG175">
        <v>21</v>
      </c>
    </row>
    <row r="176" spans="1:33" x14ac:dyDescent="0.25">
      <c r="A176" s="3" t="s">
        <v>1170</v>
      </c>
      <c r="B176">
        <v>125.52</v>
      </c>
      <c r="C176" s="3" t="s">
        <v>360</v>
      </c>
      <c r="D176" s="3" t="s">
        <v>360</v>
      </c>
      <c r="E176">
        <v>0.57999999999999996</v>
      </c>
      <c r="F176">
        <v>0.6</v>
      </c>
      <c r="G176">
        <v>5</v>
      </c>
      <c r="H176" s="3" t="s">
        <v>361</v>
      </c>
      <c r="I176">
        <v>0</v>
      </c>
      <c r="J176" s="3" t="s">
        <v>1171</v>
      </c>
      <c r="K176">
        <v>135</v>
      </c>
      <c r="L176">
        <v>2.1</v>
      </c>
      <c r="M176">
        <v>4.6667E-2</v>
      </c>
      <c r="N176">
        <v>7.5525999999999996E-2</v>
      </c>
      <c r="O176" s="3" t="s">
        <v>1172</v>
      </c>
      <c r="P176" s="3" t="s">
        <v>105</v>
      </c>
      <c r="Q176">
        <v>295647008</v>
      </c>
      <c r="R176">
        <v>37109612544</v>
      </c>
      <c r="S176">
        <v>37109.612544000003</v>
      </c>
      <c r="T176" s="3" t="s">
        <v>399</v>
      </c>
      <c r="U176" s="3" t="s">
        <v>1173</v>
      </c>
      <c r="V176" s="3" t="s">
        <v>366</v>
      </c>
      <c r="W176" s="3" t="s">
        <v>34</v>
      </c>
      <c r="X176">
        <v>0</v>
      </c>
      <c r="Y176">
        <v>1</v>
      </c>
      <c r="Z176">
        <v>0</v>
      </c>
      <c r="AA176" s="3" t="s">
        <v>34</v>
      </c>
      <c r="AB176" s="3" t="s">
        <v>390</v>
      </c>
      <c r="AC176" s="3" t="s">
        <v>35</v>
      </c>
      <c r="AD176" s="3" t="s">
        <v>391</v>
      </c>
      <c r="AE176">
        <v>0</v>
      </c>
      <c r="AF176">
        <v>19.215350000000001</v>
      </c>
      <c r="AG176">
        <v>19</v>
      </c>
    </row>
    <row r="177" spans="1:33" x14ac:dyDescent="0.25">
      <c r="A177" s="3" t="s">
        <v>1174</v>
      </c>
      <c r="B177">
        <v>204.73</v>
      </c>
      <c r="C177" s="3" t="s">
        <v>360</v>
      </c>
      <c r="D177" s="3" t="s">
        <v>360</v>
      </c>
      <c r="E177">
        <v>0.6</v>
      </c>
      <c r="F177">
        <v>0</v>
      </c>
      <c r="G177">
        <v>4</v>
      </c>
      <c r="H177" s="3" t="s">
        <v>379</v>
      </c>
      <c r="I177">
        <v>0</v>
      </c>
      <c r="J177" s="3" t="s">
        <v>1175</v>
      </c>
      <c r="K177">
        <v>230</v>
      </c>
      <c r="L177">
        <v>2.0499999999999998</v>
      </c>
      <c r="M177">
        <v>2.6738999999999999E-2</v>
      </c>
      <c r="N177">
        <v>0.123431</v>
      </c>
      <c r="O177" s="3" t="s">
        <v>1176</v>
      </c>
      <c r="P177" s="3" t="s">
        <v>105</v>
      </c>
      <c r="Q177">
        <v>473944000</v>
      </c>
      <c r="R177">
        <v>97303257088</v>
      </c>
      <c r="S177">
        <v>97303.257087999998</v>
      </c>
      <c r="T177" s="3" t="s">
        <v>399</v>
      </c>
      <c r="U177" s="3" t="s">
        <v>1177</v>
      </c>
      <c r="V177" s="3" t="s">
        <v>366</v>
      </c>
      <c r="W177" s="3" t="s">
        <v>34</v>
      </c>
      <c r="X177">
        <v>0</v>
      </c>
      <c r="Y177">
        <v>1</v>
      </c>
      <c r="Z177">
        <v>0</v>
      </c>
      <c r="AA177" s="3" t="s">
        <v>34</v>
      </c>
      <c r="AB177" s="3" t="s">
        <v>390</v>
      </c>
      <c r="AC177" s="3" t="s">
        <v>35</v>
      </c>
      <c r="AD177" s="3" t="s">
        <v>391</v>
      </c>
      <c r="AE177">
        <v>0</v>
      </c>
      <c r="AF177">
        <v>19.948332000000001</v>
      </c>
      <c r="AG177">
        <v>23</v>
      </c>
    </row>
    <row r="178" spans="1:33" x14ac:dyDescent="0.25">
      <c r="A178" s="3" t="s">
        <v>74</v>
      </c>
      <c r="B178">
        <v>443.91</v>
      </c>
      <c r="C178" s="3" t="s">
        <v>360</v>
      </c>
      <c r="D178" s="3" t="s">
        <v>360</v>
      </c>
      <c r="E178">
        <v>0.72</v>
      </c>
      <c r="F178">
        <v>0</v>
      </c>
      <c r="G178">
        <v>4</v>
      </c>
      <c r="H178" s="3" t="s">
        <v>379</v>
      </c>
      <c r="I178">
        <v>0</v>
      </c>
      <c r="J178" s="3" t="s">
        <v>1178</v>
      </c>
      <c r="K178">
        <v>460</v>
      </c>
      <c r="L178">
        <v>4.5999999999999996</v>
      </c>
      <c r="M178">
        <v>0.04</v>
      </c>
      <c r="N178">
        <v>3.6246E-2</v>
      </c>
      <c r="O178" s="3" t="s">
        <v>233</v>
      </c>
      <c r="P178" s="3" t="s">
        <v>105</v>
      </c>
      <c r="Q178">
        <v>917782016</v>
      </c>
      <c r="R178">
        <v>407412604928</v>
      </c>
      <c r="S178">
        <v>407412.60492800002</v>
      </c>
      <c r="T178" s="3" t="s">
        <v>1179</v>
      </c>
      <c r="U178" s="3" t="s">
        <v>1180</v>
      </c>
      <c r="V178" s="3" t="s">
        <v>366</v>
      </c>
      <c r="W178" s="3" t="s">
        <v>34</v>
      </c>
      <c r="X178">
        <v>0</v>
      </c>
      <c r="Y178">
        <v>1</v>
      </c>
      <c r="Z178">
        <v>0</v>
      </c>
      <c r="AA178" s="3" t="s">
        <v>34</v>
      </c>
      <c r="AB178" s="3" t="s">
        <v>115</v>
      </c>
      <c r="AC178" s="3" t="s">
        <v>35</v>
      </c>
      <c r="AD178" s="3" t="s">
        <v>391</v>
      </c>
      <c r="AE178">
        <v>0</v>
      </c>
      <c r="AF178">
        <v>18.764845999999999</v>
      </c>
      <c r="AG178">
        <v>180</v>
      </c>
    </row>
    <row r="179" spans="1:33" x14ac:dyDescent="0.25">
      <c r="A179" s="3" t="s">
        <v>1181</v>
      </c>
      <c r="B179">
        <v>130.58000000000001</v>
      </c>
      <c r="C179" s="3" t="s">
        <v>360</v>
      </c>
      <c r="D179" s="3" t="s">
        <v>360</v>
      </c>
      <c r="E179">
        <v>0.7</v>
      </c>
      <c r="F179">
        <v>0.18</v>
      </c>
      <c r="G179">
        <v>4</v>
      </c>
      <c r="H179" s="3" t="s">
        <v>379</v>
      </c>
      <c r="I179">
        <v>0</v>
      </c>
      <c r="J179" s="3" t="s">
        <v>1182</v>
      </c>
      <c r="K179">
        <v>134</v>
      </c>
      <c r="L179">
        <v>3.1</v>
      </c>
      <c r="M179">
        <v>6.9403000000000006E-2</v>
      </c>
      <c r="N179">
        <v>2.6190999999999999E-2</v>
      </c>
      <c r="O179" s="3" t="s">
        <v>1183</v>
      </c>
      <c r="P179" s="3" t="s">
        <v>105</v>
      </c>
      <c r="Q179">
        <v>6900000</v>
      </c>
      <c r="R179">
        <v>901001984</v>
      </c>
      <c r="S179">
        <v>901.00198399999999</v>
      </c>
      <c r="T179" s="3" t="s">
        <v>1179</v>
      </c>
      <c r="U179" s="3" t="s">
        <v>1184</v>
      </c>
      <c r="V179" s="3" t="s">
        <v>443</v>
      </c>
      <c r="W179" s="3" t="s">
        <v>34</v>
      </c>
      <c r="X179">
        <v>0</v>
      </c>
      <c r="Y179">
        <v>1</v>
      </c>
      <c r="Z179">
        <v>0</v>
      </c>
      <c r="AA179" s="3" t="s">
        <v>34</v>
      </c>
      <c r="AB179" s="3" t="s">
        <v>115</v>
      </c>
      <c r="AC179" s="3" t="s">
        <v>35</v>
      </c>
      <c r="AD179" s="3" t="s">
        <v>391</v>
      </c>
      <c r="AE179">
        <v>0</v>
      </c>
      <c r="AF179">
        <v>13.717978</v>
      </c>
      <c r="AG179">
        <v>10</v>
      </c>
    </row>
    <row r="180" spans="1:33" x14ac:dyDescent="0.25">
      <c r="A180" s="3" t="s">
        <v>1185</v>
      </c>
      <c r="C180" s="3"/>
      <c r="D180" s="3"/>
      <c r="H180" s="3" t="s">
        <v>34</v>
      </c>
      <c r="I180">
        <v>0</v>
      </c>
      <c r="J180" s="3" t="s">
        <v>34</v>
      </c>
      <c r="O180" s="3" t="s">
        <v>34</v>
      </c>
      <c r="P180" s="3" t="s">
        <v>34</v>
      </c>
      <c r="T180" s="3" t="s">
        <v>34</v>
      </c>
      <c r="U180" s="3" t="s">
        <v>34</v>
      </c>
      <c r="V180" s="3" t="s">
        <v>34</v>
      </c>
      <c r="W180" s="3" t="s">
        <v>34</v>
      </c>
      <c r="X180">
        <v>0</v>
      </c>
      <c r="Y180">
        <v>1</v>
      </c>
      <c r="Z180">
        <v>0</v>
      </c>
      <c r="AA180" s="3" t="s">
        <v>34</v>
      </c>
      <c r="AB180" s="3" t="s">
        <v>34</v>
      </c>
      <c r="AC180" s="3" t="s">
        <v>35</v>
      </c>
      <c r="AD180" s="3" t="s">
        <v>391</v>
      </c>
      <c r="AE180">
        <v>0</v>
      </c>
    </row>
    <row r="181" spans="1:33" x14ac:dyDescent="0.25">
      <c r="A181" s="3" t="s">
        <v>1186</v>
      </c>
      <c r="C181" s="3"/>
      <c r="D181" s="3"/>
      <c r="H181" s="3" t="s">
        <v>34</v>
      </c>
      <c r="I181">
        <v>0</v>
      </c>
      <c r="J181" s="3" t="s">
        <v>34</v>
      </c>
      <c r="O181" s="3" t="s">
        <v>34</v>
      </c>
      <c r="P181" s="3" t="s">
        <v>34</v>
      </c>
      <c r="T181" s="3" t="s">
        <v>34</v>
      </c>
      <c r="U181" s="3" t="s">
        <v>34</v>
      </c>
      <c r="V181" s="3" t="s">
        <v>34</v>
      </c>
      <c r="W181" s="3" t="s">
        <v>34</v>
      </c>
      <c r="X181">
        <v>0</v>
      </c>
      <c r="Y181">
        <v>1</v>
      </c>
      <c r="Z181">
        <v>0</v>
      </c>
      <c r="AA181" s="3" t="s">
        <v>34</v>
      </c>
      <c r="AB181" s="3" t="s">
        <v>34</v>
      </c>
      <c r="AC181" s="3" t="s">
        <v>35</v>
      </c>
      <c r="AD181" s="3" t="s">
        <v>391</v>
      </c>
      <c r="AE181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E8213-9BA8-4481-AC91-E3726874C2FD}">
  <dimension ref="A1"/>
  <sheetViews>
    <sheetView showGridLines="0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A2" sqref="A2"/>
    </sheetView>
  </sheetViews>
  <sheetFormatPr defaultRowHeight="15.75" x14ac:dyDescent="0.25"/>
  <cols>
    <col min="1" max="1" width="6.625" bestFit="1" customWidth="1"/>
  </cols>
  <sheetData>
    <row r="1" spans="1:1" x14ac:dyDescent="0.25">
      <c r="A1" s="95" t="s">
        <v>324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F7B53-2CBD-4879-88D8-B4D66FC4EF44}">
  <sheetPr codeName="Sheet8"/>
  <dimension ref="A1:L35"/>
  <sheetViews>
    <sheetView topLeftCell="A3" workbookViewId="0">
      <selection activeCell="A2" sqref="A2:A35"/>
    </sheetView>
  </sheetViews>
  <sheetFormatPr defaultRowHeight="15.75" x14ac:dyDescent="0.25"/>
  <cols>
    <col min="1" max="1" width="9.875" bestFit="1" customWidth="1"/>
    <col min="2" max="2" width="10.875" bestFit="1" customWidth="1"/>
    <col min="3" max="3" width="6.5" bestFit="1" customWidth="1"/>
    <col min="4" max="4" width="9.875" bestFit="1" customWidth="1"/>
    <col min="5" max="5" width="10.5" bestFit="1" customWidth="1"/>
    <col min="6" max="6" width="7.125" bestFit="1" customWidth="1"/>
    <col min="7" max="7" width="11.25" bestFit="1" customWidth="1"/>
    <col min="8" max="8" width="8.75" bestFit="1" customWidth="1"/>
    <col min="9" max="9" width="6.875" bestFit="1" customWidth="1"/>
    <col min="10" max="10" width="6.625" bestFit="1" customWidth="1"/>
    <col min="11" max="11" width="7.875" bestFit="1" customWidth="1"/>
    <col min="12" max="12" width="5.875" bestFit="1" customWidth="1"/>
  </cols>
  <sheetData>
    <row r="1" spans="1:12" x14ac:dyDescent="0.25">
      <c r="A1" t="s">
        <v>1187</v>
      </c>
      <c r="B1" t="s">
        <v>343</v>
      </c>
      <c r="C1" t="s">
        <v>1188</v>
      </c>
      <c r="D1" t="s">
        <v>1189</v>
      </c>
      <c r="E1" t="s">
        <v>1190</v>
      </c>
      <c r="F1" t="s">
        <v>1191</v>
      </c>
      <c r="G1" t="s">
        <v>1192</v>
      </c>
      <c r="H1" t="s">
        <v>1193</v>
      </c>
      <c r="I1" t="s">
        <v>1194</v>
      </c>
      <c r="J1" t="s">
        <v>1195</v>
      </c>
      <c r="K1" t="s">
        <v>334</v>
      </c>
      <c r="L1" t="s">
        <v>1196</v>
      </c>
    </row>
    <row r="2" spans="1:12" x14ac:dyDescent="0.25">
      <c r="A2" s="3" t="s">
        <v>44</v>
      </c>
      <c r="B2" s="3" t="s">
        <v>33</v>
      </c>
      <c r="C2" s="3" t="s">
        <v>1197</v>
      </c>
      <c r="D2" s="3" t="s">
        <v>1198</v>
      </c>
      <c r="E2">
        <v>29</v>
      </c>
      <c r="F2" s="3" t="s">
        <v>1199</v>
      </c>
      <c r="G2" s="3" t="s">
        <v>84</v>
      </c>
      <c r="H2">
        <v>12</v>
      </c>
      <c r="I2">
        <v>17</v>
      </c>
      <c r="J2">
        <v>2021</v>
      </c>
      <c r="K2">
        <v>165</v>
      </c>
      <c r="L2">
        <v>1.36</v>
      </c>
    </row>
    <row r="3" spans="1:12" x14ac:dyDescent="0.25">
      <c r="A3" s="3" t="s">
        <v>52</v>
      </c>
      <c r="B3" s="3" t="s">
        <v>33</v>
      </c>
      <c r="C3" s="3" t="s">
        <v>1197</v>
      </c>
      <c r="D3" s="3" t="s">
        <v>1198</v>
      </c>
      <c r="E3">
        <v>11</v>
      </c>
      <c r="F3" s="3" t="s">
        <v>1199</v>
      </c>
      <c r="G3" s="3" t="s">
        <v>84</v>
      </c>
      <c r="H3">
        <v>1</v>
      </c>
      <c r="I3">
        <v>21</v>
      </c>
      <c r="J3">
        <v>2022</v>
      </c>
      <c r="K3">
        <v>310</v>
      </c>
      <c r="L3">
        <v>3.7</v>
      </c>
    </row>
    <row r="4" spans="1:12" x14ac:dyDescent="0.25">
      <c r="A4" s="3" t="s">
        <v>36</v>
      </c>
      <c r="B4" s="3" t="s">
        <v>33</v>
      </c>
      <c r="C4" s="3" t="s">
        <v>1197</v>
      </c>
      <c r="D4" s="3" t="s">
        <v>1198</v>
      </c>
      <c r="E4">
        <v>2</v>
      </c>
      <c r="F4" s="3" t="s">
        <v>1199</v>
      </c>
      <c r="G4" s="3" t="s">
        <v>84</v>
      </c>
      <c r="H4">
        <v>12</v>
      </c>
      <c r="I4">
        <v>17</v>
      </c>
      <c r="J4">
        <v>2021</v>
      </c>
      <c r="K4">
        <v>3800</v>
      </c>
      <c r="L4">
        <v>37</v>
      </c>
    </row>
    <row r="5" spans="1:12" x14ac:dyDescent="0.25">
      <c r="A5" s="3" t="s">
        <v>43</v>
      </c>
      <c r="B5" s="3" t="s">
        <v>33</v>
      </c>
      <c r="C5" s="3" t="s">
        <v>1197</v>
      </c>
      <c r="D5" s="3" t="s">
        <v>1198</v>
      </c>
      <c r="E5">
        <v>355</v>
      </c>
      <c r="F5" s="3" t="s">
        <v>1199</v>
      </c>
      <c r="G5" s="3" t="s">
        <v>84</v>
      </c>
      <c r="H5">
        <v>1</v>
      </c>
      <c r="I5">
        <v>21</v>
      </c>
      <c r="J5">
        <v>2022</v>
      </c>
      <c r="K5">
        <v>20</v>
      </c>
      <c r="L5">
        <v>0.45</v>
      </c>
    </row>
    <row r="6" spans="1:12" x14ac:dyDescent="0.25">
      <c r="A6" s="3" t="s">
        <v>53</v>
      </c>
      <c r="B6" s="3" t="s">
        <v>33</v>
      </c>
      <c r="C6" s="3" t="s">
        <v>1197</v>
      </c>
      <c r="D6" s="3" t="s">
        <v>1198</v>
      </c>
      <c r="E6">
        <v>12</v>
      </c>
      <c r="F6" s="3" t="s">
        <v>1199</v>
      </c>
      <c r="G6" s="3" t="s">
        <v>84</v>
      </c>
      <c r="H6">
        <v>12</v>
      </c>
      <c r="I6">
        <v>17</v>
      </c>
      <c r="J6">
        <v>2021</v>
      </c>
      <c r="K6">
        <v>330</v>
      </c>
      <c r="L6">
        <v>2.8</v>
      </c>
    </row>
    <row r="7" spans="1:12" x14ac:dyDescent="0.25">
      <c r="A7" s="3" t="s">
        <v>57</v>
      </c>
      <c r="B7" s="3" t="s">
        <v>33</v>
      </c>
      <c r="C7" s="3" t="s">
        <v>1197</v>
      </c>
      <c r="D7" s="3" t="s">
        <v>1198</v>
      </c>
      <c r="E7">
        <v>6</v>
      </c>
      <c r="F7" s="3" t="s">
        <v>1199</v>
      </c>
      <c r="G7" s="3" t="s">
        <v>84</v>
      </c>
      <c r="H7">
        <v>12</v>
      </c>
      <c r="I7">
        <v>17</v>
      </c>
      <c r="J7">
        <v>2021</v>
      </c>
      <c r="K7">
        <v>550</v>
      </c>
      <c r="L7">
        <v>5.0999999999999996</v>
      </c>
    </row>
    <row r="8" spans="1:12" x14ac:dyDescent="0.25">
      <c r="A8" s="3" t="s">
        <v>56</v>
      </c>
      <c r="B8" s="3" t="s">
        <v>33</v>
      </c>
      <c r="C8" s="3" t="s">
        <v>1197</v>
      </c>
      <c r="D8" s="3" t="s">
        <v>1198</v>
      </c>
      <c r="E8">
        <v>28</v>
      </c>
      <c r="F8" s="3" t="s">
        <v>1199</v>
      </c>
      <c r="G8" s="3" t="s">
        <v>84</v>
      </c>
      <c r="H8">
        <v>12</v>
      </c>
      <c r="I8">
        <v>17</v>
      </c>
      <c r="J8">
        <v>2021</v>
      </c>
      <c r="K8">
        <v>190</v>
      </c>
      <c r="L8">
        <v>2.0099999999999998</v>
      </c>
    </row>
    <row r="9" spans="1:12" x14ac:dyDescent="0.25">
      <c r="A9" s="3" t="s">
        <v>66</v>
      </c>
      <c r="B9" s="3" t="s">
        <v>33</v>
      </c>
      <c r="C9" s="3" t="s">
        <v>1197</v>
      </c>
      <c r="D9" s="3" t="s">
        <v>1198</v>
      </c>
      <c r="E9">
        <v>10</v>
      </c>
      <c r="F9" s="3" t="s">
        <v>1199</v>
      </c>
      <c r="G9" s="3" t="s">
        <v>84</v>
      </c>
      <c r="H9">
        <v>1</v>
      </c>
      <c r="I9">
        <v>21</v>
      </c>
      <c r="J9">
        <v>2022</v>
      </c>
      <c r="K9">
        <v>370</v>
      </c>
      <c r="L9">
        <v>5.4</v>
      </c>
    </row>
    <row r="10" spans="1:12" x14ac:dyDescent="0.25">
      <c r="A10" s="3" t="s">
        <v>42</v>
      </c>
      <c r="B10" s="3" t="s">
        <v>33</v>
      </c>
      <c r="C10" s="3" t="s">
        <v>1197</v>
      </c>
      <c r="D10" s="3" t="s">
        <v>1198</v>
      </c>
      <c r="E10">
        <v>39</v>
      </c>
      <c r="F10" s="3" t="s">
        <v>1199</v>
      </c>
      <c r="G10" s="3" t="s">
        <v>84</v>
      </c>
      <c r="H10">
        <v>12</v>
      </c>
      <c r="I10">
        <v>17</v>
      </c>
      <c r="J10">
        <v>2021</v>
      </c>
      <c r="K10">
        <v>140</v>
      </c>
      <c r="L10">
        <v>1.4</v>
      </c>
    </row>
    <row r="11" spans="1:12" x14ac:dyDescent="0.25">
      <c r="A11" s="3" t="s">
        <v>129</v>
      </c>
      <c r="B11" s="3" t="s">
        <v>33</v>
      </c>
      <c r="C11" s="3" t="s">
        <v>1197</v>
      </c>
      <c r="D11" s="3" t="s">
        <v>1198</v>
      </c>
      <c r="E11">
        <v>7</v>
      </c>
      <c r="F11" s="3" t="s">
        <v>1199</v>
      </c>
      <c r="G11" s="3" t="s">
        <v>84</v>
      </c>
      <c r="H11">
        <v>12</v>
      </c>
      <c r="I11">
        <v>17</v>
      </c>
      <c r="J11">
        <v>2021</v>
      </c>
      <c r="K11">
        <v>220</v>
      </c>
      <c r="L11">
        <v>1.3</v>
      </c>
    </row>
    <row r="12" spans="1:12" x14ac:dyDescent="0.25">
      <c r="A12" s="3" t="s">
        <v>58</v>
      </c>
      <c r="B12" s="3" t="s">
        <v>33</v>
      </c>
      <c r="C12" s="3" t="s">
        <v>1197</v>
      </c>
      <c r="D12" s="3" t="s">
        <v>1198</v>
      </c>
      <c r="E12">
        <v>29</v>
      </c>
      <c r="F12" s="3" t="s">
        <v>1199</v>
      </c>
      <c r="G12" s="3" t="s">
        <v>84</v>
      </c>
      <c r="H12">
        <v>12</v>
      </c>
      <c r="I12">
        <v>17</v>
      </c>
      <c r="J12">
        <v>2021</v>
      </c>
      <c r="K12">
        <v>320</v>
      </c>
      <c r="L12">
        <v>3.1</v>
      </c>
    </row>
    <row r="13" spans="1:12" x14ac:dyDescent="0.25">
      <c r="A13" s="3" t="s">
        <v>32</v>
      </c>
      <c r="B13" s="3" t="s">
        <v>33</v>
      </c>
      <c r="C13" s="3" t="s">
        <v>1197</v>
      </c>
      <c r="D13" s="3" t="s">
        <v>1198</v>
      </c>
      <c r="E13">
        <v>34</v>
      </c>
      <c r="F13" s="3" t="s">
        <v>1199</v>
      </c>
      <c r="G13" s="3" t="s">
        <v>84</v>
      </c>
      <c r="H13">
        <v>12</v>
      </c>
      <c r="I13">
        <v>17</v>
      </c>
      <c r="J13">
        <v>2021</v>
      </c>
      <c r="K13">
        <v>330</v>
      </c>
      <c r="L13">
        <v>3</v>
      </c>
    </row>
    <row r="14" spans="1:12" x14ac:dyDescent="0.25">
      <c r="A14" s="3" t="s">
        <v>55</v>
      </c>
      <c r="B14" s="3" t="s">
        <v>33</v>
      </c>
      <c r="C14" s="3" t="s">
        <v>1197</v>
      </c>
      <c r="D14" s="3" t="s">
        <v>1198</v>
      </c>
      <c r="E14">
        <v>86</v>
      </c>
      <c r="F14" s="3" t="s">
        <v>1199</v>
      </c>
      <c r="G14" s="3" t="s">
        <v>84</v>
      </c>
      <c r="H14">
        <v>12</v>
      </c>
      <c r="I14">
        <v>17</v>
      </c>
      <c r="J14">
        <v>2021</v>
      </c>
      <c r="K14">
        <v>47</v>
      </c>
      <c r="L14">
        <v>0.6</v>
      </c>
    </row>
    <row r="15" spans="1:12" x14ac:dyDescent="0.25">
      <c r="A15" s="3" t="s">
        <v>62</v>
      </c>
      <c r="B15" s="3" t="s">
        <v>33</v>
      </c>
      <c r="C15" s="3" t="s">
        <v>1197</v>
      </c>
      <c r="D15" s="3" t="s">
        <v>1198</v>
      </c>
      <c r="E15">
        <v>1574</v>
      </c>
      <c r="F15" s="3" t="s">
        <v>1199</v>
      </c>
      <c r="G15" s="3" t="s">
        <v>84</v>
      </c>
      <c r="H15">
        <v>12</v>
      </c>
      <c r="I15">
        <v>17</v>
      </c>
      <c r="J15">
        <v>2021</v>
      </c>
      <c r="K15">
        <v>5</v>
      </c>
      <c r="L15">
        <v>0.05</v>
      </c>
    </row>
    <row r="16" spans="1:12" x14ac:dyDescent="0.25">
      <c r="A16" s="3" t="s">
        <v>50</v>
      </c>
      <c r="B16" s="3" t="s">
        <v>33</v>
      </c>
      <c r="C16" s="3" t="s">
        <v>1197</v>
      </c>
      <c r="D16" s="3" t="s">
        <v>1198</v>
      </c>
      <c r="E16">
        <v>20</v>
      </c>
      <c r="F16" s="3" t="s">
        <v>1199</v>
      </c>
      <c r="G16" s="3" t="s">
        <v>84</v>
      </c>
      <c r="H16">
        <v>12</v>
      </c>
      <c r="I16">
        <v>17</v>
      </c>
      <c r="J16">
        <v>2021</v>
      </c>
      <c r="K16">
        <v>300</v>
      </c>
      <c r="L16">
        <v>2.52</v>
      </c>
    </row>
    <row r="17" spans="1:12" x14ac:dyDescent="0.25">
      <c r="A17" s="3" t="s">
        <v>37</v>
      </c>
      <c r="B17" s="3" t="s">
        <v>33</v>
      </c>
      <c r="C17" s="3" t="s">
        <v>1197</v>
      </c>
      <c r="D17" s="3" t="s">
        <v>1198</v>
      </c>
      <c r="E17">
        <v>19</v>
      </c>
      <c r="F17" s="3" t="s">
        <v>1199</v>
      </c>
      <c r="G17" s="3" t="s">
        <v>84</v>
      </c>
      <c r="H17">
        <v>12</v>
      </c>
      <c r="I17">
        <v>17</v>
      </c>
      <c r="J17">
        <v>2021</v>
      </c>
      <c r="K17">
        <v>400</v>
      </c>
      <c r="L17">
        <v>4.05</v>
      </c>
    </row>
    <row r="18" spans="1:12" x14ac:dyDescent="0.25">
      <c r="A18" s="3" t="s">
        <v>45</v>
      </c>
      <c r="B18" s="3" t="s">
        <v>33</v>
      </c>
      <c r="C18" s="3" t="s">
        <v>1197</v>
      </c>
      <c r="D18" s="3" t="s">
        <v>1198</v>
      </c>
      <c r="E18">
        <v>19</v>
      </c>
      <c r="F18" s="3" t="s">
        <v>1199</v>
      </c>
      <c r="G18" s="3" t="s">
        <v>84</v>
      </c>
      <c r="H18">
        <v>1</v>
      </c>
      <c r="I18">
        <v>21</v>
      </c>
      <c r="J18">
        <v>2022</v>
      </c>
      <c r="K18">
        <v>270</v>
      </c>
      <c r="L18">
        <v>14.4</v>
      </c>
    </row>
    <row r="19" spans="1:12" x14ac:dyDescent="0.25">
      <c r="A19" s="3" t="s">
        <v>61</v>
      </c>
      <c r="B19" s="3" t="s">
        <v>33</v>
      </c>
      <c r="C19" s="3" t="s">
        <v>1197</v>
      </c>
      <c r="D19" s="3" t="s">
        <v>1198</v>
      </c>
      <c r="E19">
        <v>59</v>
      </c>
      <c r="F19" s="3" t="s">
        <v>1199</v>
      </c>
      <c r="G19" s="3" t="s">
        <v>84</v>
      </c>
      <c r="H19">
        <v>1</v>
      </c>
      <c r="I19">
        <v>21</v>
      </c>
      <c r="J19">
        <v>2022</v>
      </c>
      <c r="K19">
        <v>45</v>
      </c>
      <c r="L19">
        <v>1.7</v>
      </c>
    </row>
    <row r="20" spans="1:12" x14ac:dyDescent="0.25">
      <c r="A20" s="3" t="s">
        <v>64</v>
      </c>
      <c r="B20" s="3" t="s">
        <v>33</v>
      </c>
      <c r="C20" s="3" t="s">
        <v>1197</v>
      </c>
      <c r="D20" s="3" t="s">
        <v>1198</v>
      </c>
      <c r="E20">
        <v>1</v>
      </c>
      <c r="F20" s="3" t="s">
        <v>1199</v>
      </c>
      <c r="G20" s="3" t="s">
        <v>84</v>
      </c>
      <c r="H20">
        <v>12</v>
      </c>
      <c r="I20">
        <v>17</v>
      </c>
      <c r="J20">
        <v>2021</v>
      </c>
      <c r="K20">
        <v>3150</v>
      </c>
      <c r="L20">
        <v>26.9</v>
      </c>
    </row>
    <row r="21" spans="1:12" x14ac:dyDescent="0.25">
      <c r="A21" s="3" t="s">
        <v>54</v>
      </c>
      <c r="B21" s="3" t="s">
        <v>33</v>
      </c>
      <c r="C21" s="3" t="s">
        <v>1197</v>
      </c>
      <c r="D21" s="3" t="s">
        <v>1198</v>
      </c>
      <c r="E21">
        <v>23</v>
      </c>
      <c r="F21" s="3" t="s">
        <v>1199</v>
      </c>
      <c r="G21" s="3" t="s">
        <v>84</v>
      </c>
      <c r="H21">
        <v>12</v>
      </c>
      <c r="I21">
        <v>17</v>
      </c>
      <c r="J21">
        <v>2021</v>
      </c>
      <c r="K21">
        <v>180</v>
      </c>
      <c r="L21">
        <v>3.5</v>
      </c>
    </row>
    <row r="22" spans="1:12" x14ac:dyDescent="0.25">
      <c r="A22" s="3" t="s">
        <v>65</v>
      </c>
      <c r="B22" s="3" t="s">
        <v>33</v>
      </c>
      <c r="C22" s="3" t="s">
        <v>1197</v>
      </c>
      <c r="D22" s="3" t="s">
        <v>1198</v>
      </c>
      <c r="E22">
        <v>10</v>
      </c>
      <c r="F22" s="3" t="s">
        <v>1199</v>
      </c>
      <c r="G22" s="3" t="s">
        <v>84</v>
      </c>
      <c r="H22">
        <v>12</v>
      </c>
      <c r="I22">
        <v>17</v>
      </c>
      <c r="J22">
        <v>2021</v>
      </c>
      <c r="K22">
        <v>375</v>
      </c>
      <c r="L22">
        <v>3.2</v>
      </c>
    </row>
    <row r="23" spans="1:12" x14ac:dyDescent="0.25">
      <c r="A23" s="3" t="s">
        <v>48</v>
      </c>
      <c r="B23" s="3" t="s">
        <v>33</v>
      </c>
      <c r="C23" s="3" t="s">
        <v>1197</v>
      </c>
      <c r="D23" s="3" t="s">
        <v>1198</v>
      </c>
      <c r="E23">
        <v>616</v>
      </c>
      <c r="F23" s="3" t="s">
        <v>1199</v>
      </c>
      <c r="G23" s="3" t="s">
        <v>84</v>
      </c>
      <c r="H23">
        <v>12</v>
      </c>
      <c r="I23">
        <v>17</v>
      </c>
      <c r="J23">
        <v>2021</v>
      </c>
      <c r="K23">
        <v>15</v>
      </c>
      <c r="L23">
        <v>0.15</v>
      </c>
    </row>
    <row r="24" spans="1:12" x14ac:dyDescent="0.25">
      <c r="A24" s="3" t="s">
        <v>40</v>
      </c>
      <c r="B24" s="3" t="s">
        <v>33</v>
      </c>
      <c r="C24" s="3" t="s">
        <v>1197</v>
      </c>
      <c r="D24" s="3" t="s">
        <v>1198</v>
      </c>
      <c r="E24">
        <v>2</v>
      </c>
      <c r="F24" s="3" t="s">
        <v>1199</v>
      </c>
      <c r="G24" s="3" t="s">
        <v>84</v>
      </c>
      <c r="H24">
        <v>12</v>
      </c>
      <c r="I24">
        <v>17</v>
      </c>
      <c r="J24">
        <v>2021</v>
      </c>
      <c r="K24">
        <v>2300</v>
      </c>
      <c r="L24">
        <v>24.2</v>
      </c>
    </row>
    <row r="25" spans="1:12" x14ac:dyDescent="0.25">
      <c r="A25" s="3" t="s">
        <v>128</v>
      </c>
      <c r="B25" s="3" t="s">
        <v>33</v>
      </c>
      <c r="C25" s="3" t="s">
        <v>1197</v>
      </c>
      <c r="D25" s="3" t="s">
        <v>1198</v>
      </c>
      <c r="E25">
        <v>4</v>
      </c>
      <c r="F25" s="3" t="s">
        <v>1199</v>
      </c>
      <c r="G25" s="3" t="s">
        <v>84</v>
      </c>
      <c r="H25">
        <v>1</v>
      </c>
      <c r="I25">
        <v>21</v>
      </c>
      <c r="J25">
        <v>2022</v>
      </c>
      <c r="K25">
        <v>640</v>
      </c>
      <c r="L25">
        <v>8</v>
      </c>
    </row>
    <row r="26" spans="1:12" x14ac:dyDescent="0.25">
      <c r="A26" s="3" t="s">
        <v>47</v>
      </c>
      <c r="B26" s="3" t="s">
        <v>33</v>
      </c>
      <c r="C26" s="3" t="s">
        <v>1197</v>
      </c>
      <c r="D26" s="3" t="s">
        <v>1198</v>
      </c>
      <c r="E26">
        <v>17</v>
      </c>
      <c r="F26" s="3" t="s">
        <v>1199</v>
      </c>
      <c r="G26" s="3" t="s">
        <v>84</v>
      </c>
      <c r="H26">
        <v>12</v>
      </c>
      <c r="I26">
        <v>17</v>
      </c>
      <c r="J26">
        <v>2021</v>
      </c>
      <c r="K26">
        <v>320</v>
      </c>
      <c r="L26">
        <v>4.2</v>
      </c>
    </row>
    <row r="27" spans="1:12" x14ac:dyDescent="0.25">
      <c r="A27" s="3" t="s">
        <v>127</v>
      </c>
      <c r="B27" s="3" t="s">
        <v>33</v>
      </c>
      <c r="C27" s="3" t="s">
        <v>1197</v>
      </c>
      <c r="D27" s="3" t="s">
        <v>1198</v>
      </c>
      <c r="E27">
        <v>52</v>
      </c>
      <c r="F27" s="3" t="s">
        <v>1199</v>
      </c>
      <c r="G27" s="3" t="s">
        <v>84</v>
      </c>
      <c r="H27">
        <v>1</v>
      </c>
      <c r="I27">
        <v>21</v>
      </c>
      <c r="J27">
        <v>2022</v>
      </c>
      <c r="K27">
        <v>135</v>
      </c>
      <c r="L27">
        <v>1.8</v>
      </c>
    </row>
    <row r="28" spans="1:12" x14ac:dyDescent="0.25">
      <c r="A28" s="3" t="s">
        <v>46</v>
      </c>
      <c r="B28" s="3" t="s">
        <v>33</v>
      </c>
      <c r="C28" s="3" t="s">
        <v>1197</v>
      </c>
      <c r="D28" s="3" t="s">
        <v>1198</v>
      </c>
      <c r="E28">
        <v>75</v>
      </c>
      <c r="F28" s="3" t="s">
        <v>1199</v>
      </c>
      <c r="G28" s="3" t="s">
        <v>84</v>
      </c>
      <c r="H28">
        <v>12</v>
      </c>
      <c r="I28">
        <v>17</v>
      </c>
      <c r="J28">
        <v>2021</v>
      </c>
      <c r="K28">
        <v>115</v>
      </c>
      <c r="L28">
        <v>1.1299999999999999</v>
      </c>
    </row>
    <row r="29" spans="1:12" x14ac:dyDescent="0.25">
      <c r="A29" s="3" t="s">
        <v>67</v>
      </c>
      <c r="B29" s="3" t="s">
        <v>33</v>
      </c>
      <c r="C29" s="3" t="s">
        <v>1197</v>
      </c>
      <c r="D29" s="3" t="s">
        <v>1198</v>
      </c>
      <c r="E29">
        <v>193</v>
      </c>
      <c r="F29" s="3" t="s">
        <v>1199</v>
      </c>
      <c r="G29" s="3" t="s">
        <v>84</v>
      </c>
      <c r="H29">
        <v>1</v>
      </c>
      <c r="I29">
        <v>21</v>
      </c>
      <c r="J29">
        <v>2022</v>
      </c>
      <c r="K29">
        <v>20</v>
      </c>
      <c r="L29">
        <v>0.6</v>
      </c>
    </row>
    <row r="30" spans="1:12" x14ac:dyDescent="0.25">
      <c r="A30" s="3" t="s">
        <v>51</v>
      </c>
      <c r="B30" s="3" t="s">
        <v>33</v>
      </c>
      <c r="C30" s="3" t="s">
        <v>1197</v>
      </c>
      <c r="D30" s="3" t="s">
        <v>1198</v>
      </c>
      <c r="E30">
        <v>9</v>
      </c>
      <c r="F30" s="3" t="s">
        <v>1199</v>
      </c>
      <c r="G30" s="3" t="s">
        <v>84</v>
      </c>
      <c r="H30">
        <v>12</v>
      </c>
      <c r="I30">
        <v>17</v>
      </c>
      <c r="J30">
        <v>2021</v>
      </c>
      <c r="K30">
        <v>860</v>
      </c>
      <c r="L30">
        <v>7.6</v>
      </c>
    </row>
    <row r="31" spans="1:12" x14ac:dyDescent="0.25">
      <c r="A31" s="3" t="s">
        <v>59</v>
      </c>
      <c r="B31" s="3" t="s">
        <v>33</v>
      </c>
      <c r="C31" s="3" t="s">
        <v>1197</v>
      </c>
      <c r="D31" s="3" t="s">
        <v>1198</v>
      </c>
      <c r="E31">
        <v>8</v>
      </c>
      <c r="F31" s="3" t="s">
        <v>1199</v>
      </c>
      <c r="G31" s="3" t="s">
        <v>84</v>
      </c>
      <c r="H31">
        <v>11</v>
      </c>
      <c r="I31">
        <v>19</v>
      </c>
      <c r="J31">
        <v>2021</v>
      </c>
      <c r="K31">
        <v>530</v>
      </c>
      <c r="L31">
        <v>1.85</v>
      </c>
    </row>
    <row r="32" spans="1:12" x14ac:dyDescent="0.25">
      <c r="A32" s="3" t="s">
        <v>60</v>
      </c>
      <c r="B32" s="3" t="s">
        <v>33</v>
      </c>
      <c r="C32" s="3" t="s">
        <v>1197</v>
      </c>
      <c r="D32" s="3" t="s">
        <v>1198</v>
      </c>
      <c r="E32">
        <v>539</v>
      </c>
      <c r="F32" s="3" t="s">
        <v>1199</v>
      </c>
      <c r="G32" s="3" t="s">
        <v>84</v>
      </c>
      <c r="H32">
        <v>1</v>
      </c>
      <c r="I32">
        <v>21</v>
      </c>
      <c r="J32">
        <v>2022</v>
      </c>
      <c r="K32">
        <v>12.5</v>
      </c>
      <c r="L32">
        <v>0.2</v>
      </c>
    </row>
    <row r="33" spans="1:12" x14ac:dyDescent="0.25">
      <c r="A33" s="3" t="s">
        <v>39</v>
      </c>
      <c r="B33" s="3" t="s">
        <v>33</v>
      </c>
      <c r="C33" s="3" t="s">
        <v>1197</v>
      </c>
      <c r="D33" s="3" t="s">
        <v>1198</v>
      </c>
      <c r="E33">
        <v>176</v>
      </c>
      <c r="F33" s="3" t="s">
        <v>1199</v>
      </c>
      <c r="G33" s="3" t="s">
        <v>84</v>
      </c>
      <c r="H33">
        <v>12</v>
      </c>
      <c r="I33">
        <v>17</v>
      </c>
      <c r="J33">
        <v>2021</v>
      </c>
      <c r="K33">
        <v>60</v>
      </c>
      <c r="L33">
        <v>0.56000000000000005</v>
      </c>
    </row>
    <row r="34" spans="1:12" x14ac:dyDescent="0.25">
      <c r="A34" s="3" t="s">
        <v>49</v>
      </c>
      <c r="B34" s="3" t="s">
        <v>33</v>
      </c>
      <c r="C34" s="3" t="s">
        <v>1197</v>
      </c>
      <c r="D34" s="3" t="s">
        <v>1198</v>
      </c>
      <c r="E34">
        <v>23</v>
      </c>
      <c r="F34" s="3" t="s">
        <v>1199</v>
      </c>
      <c r="G34" s="3" t="s">
        <v>84</v>
      </c>
      <c r="H34">
        <v>12</v>
      </c>
      <c r="I34">
        <v>17</v>
      </c>
      <c r="J34">
        <v>2021</v>
      </c>
      <c r="K34">
        <v>250</v>
      </c>
      <c r="L34">
        <v>3</v>
      </c>
    </row>
    <row r="35" spans="1:12" x14ac:dyDescent="0.25">
      <c r="A35" s="3" t="s">
        <v>41</v>
      </c>
      <c r="B35" s="3" t="s">
        <v>33</v>
      </c>
      <c r="C35" s="3" t="s">
        <v>1197</v>
      </c>
      <c r="D35" s="3" t="s">
        <v>1198</v>
      </c>
      <c r="E35">
        <v>31</v>
      </c>
      <c r="F35" s="3" t="s">
        <v>1199</v>
      </c>
      <c r="G35" s="3" t="s">
        <v>84</v>
      </c>
      <c r="H35">
        <v>12</v>
      </c>
      <c r="I35">
        <v>17</v>
      </c>
      <c r="J35">
        <v>2021</v>
      </c>
      <c r="K35">
        <v>310</v>
      </c>
      <c r="L35">
        <v>3.6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363F7-0153-4159-A63E-EA950F09450A}">
  <sheetPr codeName="Sheet6">
    <pageSetUpPr fitToPage="1"/>
  </sheetPr>
  <dimension ref="A1:P26"/>
  <sheetViews>
    <sheetView showGridLines="0" workbookViewId="0">
      <selection activeCell="F5" sqref="F5"/>
    </sheetView>
  </sheetViews>
  <sheetFormatPr defaultRowHeight="15.75" customHeight="1" x14ac:dyDescent="0.25"/>
  <cols>
    <col min="1" max="1" width="10.875" style="25" customWidth="1"/>
    <col min="2" max="2" width="10.5" style="25" customWidth="1"/>
    <col min="3" max="3" width="7.375" style="25" customWidth="1"/>
    <col min="4" max="4" width="6.875" style="25" customWidth="1"/>
    <col min="5" max="5" width="10.625" style="25" customWidth="1"/>
    <col min="6" max="6" width="13.5" style="25" customWidth="1"/>
    <col min="7" max="7" width="9.5" style="25" bestFit="1" customWidth="1"/>
    <col min="8" max="8" width="13.625" style="25" customWidth="1"/>
    <col min="9" max="9" width="9" style="25"/>
    <col min="10" max="11" width="9" style="26"/>
    <col min="12" max="16384" width="9" style="25"/>
  </cols>
  <sheetData>
    <row r="1" spans="1:16" ht="34.5" customHeight="1" x14ac:dyDescent="0.5">
      <c r="A1" s="24" t="s">
        <v>1235</v>
      </c>
    </row>
    <row r="2" spans="1:16" ht="34.5" customHeight="1" thickBot="1" x14ac:dyDescent="0.55000000000000004">
      <c r="A2" s="24" t="s">
        <v>1236</v>
      </c>
    </row>
    <row r="3" spans="1:16" ht="15.75" customHeight="1" x14ac:dyDescent="0.25">
      <c r="A3" s="27"/>
      <c r="H3" s="57" t="s">
        <v>1237</v>
      </c>
      <c r="I3" s="58"/>
    </row>
    <row r="4" spans="1:16" ht="15.75" customHeight="1" thickBot="1" x14ac:dyDescent="0.3">
      <c r="C4" s="28"/>
      <c r="H4" s="61" t="s">
        <v>1260</v>
      </c>
      <c r="I4" s="62">
        <v>18.489999999999998</v>
      </c>
      <c r="P4" s="29"/>
    </row>
    <row r="5" spans="1:16" ht="15.75" customHeight="1" x14ac:dyDescent="0.25">
      <c r="A5" s="30" t="s">
        <v>1237</v>
      </c>
      <c r="B5" s="31"/>
      <c r="C5" s="32"/>
      <c r="H5" s="61" t="s">
        <v>1239</v>
      </c>
      <c r="I5" s="63">
        <v>18</v>
      </c>
      <c r="P5" s="29"/>
    </row>
    <row r="6" spans="1:16" ht="15.75" customHeight="1" x14ac:dyDescent="0.25">
      <c r="A6" s="33" t="s">
        <v>1238</v>
      </c>
      <c r="B6" s="34"/>
      <c r="C6" s="35">
        <v>40</v>
      </c>
      <c r="H6" s="61" t="s">
        <v>1261</v>
      </c>
      <c r="I6" s="62">
        <v>1.6E-2</v>
      </c>
      <c r="P6" s="29"/>
    </row>
    <row r="7" spans="1:16" ht="15.75" customHeight="1" x14ac:dyDescent="0.25">
      <c r="A7" s="33" t="s">
        <v>1239</v>
      </c>
      <c r="B7" s="34"/>
      <c r="C7" s="35">
        <v>37</v>
      </c>
      <c r="H7" s="61" t="s">
        <v>1262</v>
      </c>
      <c r="I7" s="62">
        <v>0.5</v>
      </c>
      <c r="P7" s="29"/>
    </row>
    <row r="8" spans="1:16" ht="15.75" customHeight="1" x14ac:dyDescent="0.25">
      <c r="A8" s="33" t="s">
        <v>1240</v>
      </c>
      <c r="B8" s="34"/>
      <c r="C8" s="35">
        <v>10</v>
      </c>
      <c r="H8" s="61" t="s">
        <v>1263</v>
      </c>
      <c r="I8" s="62">
        <v>1.72</v>
      </c>
      <c r="P8" s="29"/>
    </row>
    <row r="9" spans="1:16" ht="15.75" customHeight="1" thickBot="1" x14ac:dyDescent="0.3">
      <c r="A9" s="33" t="s">
        <v>1241</v>
      </c>
      <c r="B9" s="34"/>
      <c r="C9" s="36">
        <v>0.04</v>
      </c>
      <c r="H9" s="64" t="s">
        <v>1264</v>
      </c>
      <c r="I9" s="65">
        <v>1.52</v>
      </c>
      <c r="P9" s="29"/>
    </row>
    <row r="10" spans="1:16" ht="15.75" customHeight="1" thickBot="1" x14ac:dyDescent="0.3">
      <c r="A10" s="33" t="s">
        <v>1242</v>
      </c>
      <c r="B10" s="34"/>
      <c r="C10" s="36">
        <v>0.03</v>
      </c>
      <c r="H10"/>
      <c r="I10"/>
      <c r="P10" s="29"/>
    </row>
    <row r="11" spans="1:16" ht="15.75" customHeight="1" x14ac:dyDescent="0.25">
      <c r="A11" s="33" t="s">
        <v>1243</v>
      </c>
      <c r="B11" s="34"/>
      <c r="C11" s="35">
        <v>10</v>
      </c>
      <c r="G11" s="37"/>
      <c r="H11" s="59" t="s">
        <v>1265</v>
      </c>
      <c r="I11" s="60"/>
      <c r="P11" s="29"/>
    </row>
    <row r="12" spans="1:16" ht="15.75" customHeight="1" thickBot="1" x14ac:dyDescent="0.3">
      <c r="A12" s="38" t="s">
        <v>1244</v>
      </c>
      <c r="B12" s="39"/>
      <c r="C12" s="40">
        <v>0.3</v>
      </c>
      <c r="H12" s="66" t="s">
        <v>1266</v>
      </c>
      <c r="I12" s="67" t="e">
        <f>-1/T*LN((CallPrice-PutPrice+K*EXP(-I*T))/S)</f>
        <v>#NUM!</v>
      </c>
      <c r="P12" s="29"/>
    </row>
    <row r="13" spans="1:16" ht="15.75" customHeight="1" thickBot="1" x14ac:dyDescent="0.3">
      <c r="G13" s="41"/>
      <c r="P13" s="29"/>
    </row>
    <row r="14" spans="1:16" ht="15.75" customHeight="1" x14ac:dyDescent="0.25">
      <c r="A14" s="42" t="s">
        <v>1245</v>
      </c>
      <c r="B14" s="43" t="s">
        <v>1246</v>
      </c>
      <c r="C14" s="43" t="s">
        <v>1247</v>
      </c>
      <c r="D14" s="43" t="s">
        <v>1248</v>
      </c>
      <c r="E14" s="44" t="s">
        <v>1235</v>
      </c>
      <c r="P14" s="29"/>
    </row>
    <row r="15" spans="1:16" ht="15.75" customHeight="1" x14ac:dyDescent="0.25">
      <c r="A15" s="45" t="s">
        <v>1249</v>
      </c>
      <c r="B15" s="46">
        <f>S * EXP(-D * T) * ndone - X * EXP(-I* T) * ndtwo</f>
        <v>12.503729193438618</v>
      </c>
      <c r="C15" s="46">
        <f>ndone * EXP(-D * T)</f>
        <v>0.55264433625452458</v>
      </c>
      <c r="D15" s="46">
        <f>(nnone * EXP(-D * T)) / (S * dt)</f>
        <v>6.2560072489146719E-3</v>
      </c>
      <c r="E15" s="47">
        <f>ABS((C15*C8)+(0.5*(C8*D15^2)))</f>
        <v>5.526639050678738</v>
      </c>
    </row>
    <row r="16" spans="1:16" ht="15.75" customHeight="1" thickBot="1" x14ac:dyDescent="0.3">
      <c r="A16" s="48" t="s">
        <v>1250</v>
      </c>
      <c r="B16" s="49">
        <f>X * EXP(-I * T) * nndtwo - S * EXP(-D * T) * nndone</f>
        <v>7.6728420694885555</v>
      </c>
      <c r="C16" s="49">
        <f>C15-1</f>
        <v>-0.44735566374547542</v>
      </c>
      <c r="D16" s="49">
        <f>(nnone * EXP(-D * T)) / (S * dt)</f>
        <v>6.2560072489146719E-3</v>
      </c>
      <c r="E16" s="50">
        <f>ABS((C16*C8)+(0.5*(C8*D16^2)))</f>
        <v>4.473360949321262</v>
      </c>
    </row>
    <row r="17" spans="1:2" s="25" customFormat="1" ht="15.75" customHeight="1" thickBot="1" x14ac:dyDescent="0.3"/>
    <row r="18" spans="1:2" s="25" customFormat="1" ht="15.75" customHeight="1" x14ac:dyDescent="0.25">
      <c r="A18" s="51" t="s">
        <v>1251</v>
      </c>
      <c r="B18" s="52"/>
    </row>
    <row r="19" spans="1:2" s="25" customFormat="1" ht="15.75" customHeight="1" x14ac:dyDescent="0.25">
      <c r="A19" s="53" t="s">
        <v>1252</v>
      </c>
      <c r="B19" s="54">
        <f>V * SQRT(T)</f>
        <v>0.94868329805051377</v>
      </c>
    </row>
    <row r="20" spans="1:2" s="25" customFormat="1" ht="15.75" customHeight="1" x14ac:dyDescent="0.25">
      <c r="A20" s="53" t="s">
        <v>1253</v>
      </c>
      <c r="B20" s="54">
        <f>(LN(S / X) + (I - D + 0.5 * V ^ 2) * T) / dt</f>
        <v>0.66192958467818985</v>
      </c>
    </row>
    <row r="21" spans="1:2" s="25" customFormat="1" ht="15.75" customHeight="1" x14ac:dyDescent="0.25">
      <c r="A21" s="53" t="s">
        <v>1254</v>
      </c>
      <c r="B21" s="54">
        <f>done-dt</f>
        <v>-0.28675371337232392</v>
      </c>
    </row>
    <row r="22" spans="1:2" s="25" customFormat="1" ht="15.75" customHeight="1" x14ac:dyDescent="0.25">
      <c r="A22" s="53" t="s">
        <v>1255</v>
      </c>
      <c r="B22" s="54">
        <f>NORMSDIST(done)</f>
        <v>0.74599182475016423</v>
      </c>
    </row>
    <row r="23" spans="1:2" s="25" customFormat="1" ht="15.75" customHeight="1" x14ac:dyDescent="0.25">
      <c r="A23" s="53" t="s">
        <v>1256</v>
      </c>
      <c r="B23" s="54">
        <f>NORMSDIST(dtwo)</f>
        <v>0.38715045324466957</v>
      </c>
    </row>
    <row r="24" spans="1:2" s="25" customFormat="1" ht="15.75" customHeight="1" x14ac:dyDescent="0.25">
      <c r="A24" s="53" t="s">
        <v>1257</v>
      </c>
      <c r="B24" s="54">
        <f>NORMSDIST(-done)</f>
        <v>0.25400817524983582</v>
      </c>
    </row>
    <row r="25" spans="1:2" s="25" customFormat="1" ht="15.75" customHeight="1" x14ac:dyDescent="0.25">
      <c r="A25" s="53" t="s">
        <v>1258</v>
      </c>
      <c r="B25" s="54">
        <f>NORMSDIST(-dtwo)</f>
        <v>0.61284954675533043</v>
      </c>
    </row>
    <row r="26" spans="1:2" s="25" customFormat="1" ht="15.75" customHeight="1" thickBot="1" x14ac:dyDescent="0.3">
      <c r="A26" s="55" t="s">
        <v>1259</v>
      </c>
      <c r="B26" s="56">
        <f>(1 / SQRT(2 * PI()) * EXP(-0.5 * done ^ 2))</f>
        <v>0.32045483892482007</v>
      </c>
    </row>
  </sheetData>
  <sheetProtection formatCells="0" formatColumns="0" formatRows="0" insertColumns="0" insertRows="0" insertHyperlinks="0" deleteColumns="0" deleteRows="0" sort="0" autoFilter="0" pivotTables="0"/>
  <pageMargins left="0.75" right="0.75" top="1" bottom="1" header="0.5" footer="0.5"/>
  <pageSetup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C13" sqref="C13"/>
    </sheetView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F80F6-CAA0-4659-9FD3-B4B2E8DB3858}">
  <dimension ref="A1:A179"/>
  <sheetViews>
    <sheetView showGridLines="0" tabSelected="1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A2" sqref="A2:A179"/>
    </sheetView>
  </sheetViews>
  <sheetFormatPr defaultRowHeight="15.75" x14ac:dyDescent="0.25"/>
  <cols>
    <col min="1" max="1" width="6.625" bestFit="1" customWidth="1"/>
  </cols>
  <sheetData>
    <row r="1" spans="1:1" x14ac:dyDescent="0.25">
      <c r="A1" s="95" t="s">
        <v>324</v>
      </c>
    </row>
    <row r="2" spans="1:1" x14ac:dyDescent="0.25">
      <c r="A2" s="96" t="s">
        <v>359</v>
      </c>
    </row>
    <row r="3" spans="1:1" x14ac:dyDescent="0.25">
      <c r="A3" s="97" t="s">
        <v>370</v>
      </c>
    </row>
    <row r="4" spans="1:1" x14ac:dyDescent="0.25">
      <c r="A4" s="96" t="s">
        <v>44</v>
      </c>
    </row>
    <row r="5" spans="1:1" x14ac:dyDescent="0.25">
      <c r="A5" s="97" t="s">
        <v>91</v>
      </c>
    </row>
    <row r="6" spans="1:1" x14ac:dyDescent="0.25">
      <c r="A6" s="96" t="s">
        <v>392</v>
      </c>
    </row>
    <row r="7" spans="1:1" x14ac:dyDescent="0.25">
      <c r="A7" s="97" t="s">
        <v>396</v>
      </c>
    </row>
    <row r="8" spans="1:1" x14ac:dyDescent="0.25">
      <c r="A8" s="96" t="s">
        <v>401</v>
      </c>
    </row>
    <row r="9" spans="1:1" x14ac:dyDescent="0.25">
      <c r="A9" s="97" t="s">
        <v>410</v>
      </c>
    </row>
    <row r="10" spans="1:1" x14ac:dyDescent="0.25">
      <c r="A10" s="96" t="s">
        <v>414</v>
      </c>
    </row>
    <row r="11" spans="1:1" x14ac:dyDescent="0.25">
      <c r="A11" s="97" t="s">
        <v>419</v>
      </c>
    </row>
    <row r="12" spans="1:1" x14ac:dyDescent="0.25">
      <c r="A12" s="96" t="s">
        <v>423</v>
      </c>
    </row>
    <row r="13" spans="1:1" x14ac:dyDescent="0.25">
      <c r="A13" s="97" t="s">
        <v>427</v>
      </c>
    </row>
    <row r="14" spans="1:1" x14ac:dyDescent="0.25">
      <c r="A14" s="96" t="s">
        <v>432</v>
      </c>
    </row>
    <row r="15" spans="1:1" x14ac:dyDescent="0.25">
      <c r="A15" s="97" t="s">
        <v>439</v>
      </c>
    </row>
    <row r="16" spans="1:1" x14ac:dyDescent="0.25">
      <c r="A16" s="96" t="s">
        <v>445</v>
      </c>
    </row>
    <row r="17" spans="1:1" x14ac:dyDescent="0.25">
      <c r="A17" s="97" t="s">
        <v>448</v>
      </c>
    </row>
    <row r="18" spans="1:1" x14ac:dyDescent="0.25">
      <c r="A18" s="96" t="s">
        <v>52</v>
      </c>
    </row>
    <row r="19" spans="1:1" x14ac:dyDescent="0.25">
      <c r="A19" s="97" t="s">
        <v>36</v>
      </c>
    </row>
    <row r="20" spans="1:1" x14ac:dyDescent="0.25">
      <c r="A20" s="96" t="s">
        <v>468</v>
      </c>
    </row>
    <row r="21" spans="1:1" x14ac:dyDescent="0.25">
      <c r="A21" s="97" t="s">
        <v>43</v>
      </c>
    </row>
    <row r="22" spans="1:1" x14ac:dyDescent="0.25">
      <c r="A22" s="96" t="s">
        <v>478</v>
      </c>
    </row>
    <row r="23" spans="1:1" x14ac:dyDescent="0.25">
      <c r="A23" s="97" t="s">
        <v>53</v>
      </c>
    </row>
    <row r="24" spans="1:1" x14ac:dyDescent="0.25">
      <c r="A24" s="96" t="s">
        <v>488</v>
      </c>
    </row>
    <row r="25" spans="1:1" x14ac:dyDescent="0.25">
      <c r="A25" s="97" t="s">
        <v>492</v>
      </c>
    </row>
    <row r="26" spans="1:1" x14ac:dyDescent="0.25">
      <c r="A26" s="96" t="s">
        <v>496</v>
      </c>
    </row>
    <row r="27" spans="1:1" x14ac:dyDescent="0.25">
      <c r="A27" s="97" t="s">
        <v>110</v>
      </c>
    </row>
    <row r="28" spans="1:1" x14ac:dyDescent="0.25">
      <c r="A28" s="96" t="s">
        <v>57</v>
      </c>
    </row>
    <row r="29" spans="1:1" x14ac:dyDescent="0.25">
      <c r="A29" s="97" t="s">
        <v>510</v>
      </c>
    </row>
    <row r="30" spans="1:1" x14ac:dyDescent="0.25">
      <c r="A30" s="96" t="s">
        <v>56</v>
      </c>
    </row>
    <row r="31" spans="1:1" x14ac:dyDescent="0.25">
      <c r="A31" s="97" t="s">
        <v>523</v>
      </c>
    </row>
    <row r="32" spans="1:1" x14ac:dyDescent="0.25">
      <c r="A32" s="96" t="s">
        <v>528</v>
      </c>
    </row>
    <row r="33" spans="1:1" x14ac:dyDescent="0.25">
      <c r="A33" s="97" t="s">
        <v>533</v>
      </c>
    </row>
    <row r="34" spans="1:1" x14ac:dyDescent="0.25">
      <c r="A34" s="96" t="s">
        <v>109</v>
      </c>
    </row>
    <row r="35" spans="1:1" x14ac:dyDescent="0.25">
      <c r="A35" s="97" t="s">
        <v>66</v>
      </c>
    </row>
    <row r="36" spans="1:1" x14ac:dyDescent="0.25">
      <c r="A36" s="96" t="s">
        <v>113</v>
      </c>
    </row>
    <row r="37" spans="1:1" x14ac:dyDescent="0.25">
      <c r="A37" s="97" t="s">
        <v>551</v>
      </c>
    </row>
    <row r="38" spans="1:1" x14ac:dyDescent="0.25">
      <c r="A38" s="96" t="s">
        <v>555</v>
      </c>
    </row>
    <row r="39" spans="1:1" x14ac:dyDescent="0.25">
      <c r="A39" s="97" t="s">
        <v>559</v>
      </c>
    </row>
    <row r="40" spans="1:1" x14ac:dyDescent="0.25">
      <c r="A40" s="96" t="s">
        <v>563</v>
      </c>
    </row>
    <row r="41" spans="1:1" x14ac:dyDescent="0.25">
      <c r="A41" s="97" t="s">
        <v>42</v>
      </c>
    </row>
    <row r="42" spans="1:1" x14ac:dyDescent="0.25">
      <c r="A42" s="96" t="s">
        <v>574</v>
      </c>
    </row>
    <row r="43" spans="1:1" x14ac:dyDescent="0.25">
      <c r="A43" s="97" t="s">
        <v>579</v>
      </c>
    </row>
    <row r="44" spans="1:1" x14ac:dyDescent="0.25">
      <c r="A44" s="96" t="s">
        <v>583</v>
      </c>
    </row>
    <row r="45" spans="1:1" x14ac:dyDescent="0.25">
      <c r="A45" s="97" t="s">
        <v>129</v>
      </c>
    </row>
    <row r="46" spans="1:1" x14ac:dyDescent="0.25">
      <c r="A46" s="96" t="s">
        <v>593</v>
      </c>
    </row>
    <row r="47" spans="1:1" x14ac:dyDescent="0.25">
      <c r="A47" s="97" t="s">
        <v>58</v>
      </c>
    </row>
    <row r="48" spans="1:1" x14ac:dyDescent="0.25">
      <c r="A48" s="96" t="s">
        <v>111</v>
      </c>
    </row>
    <row r="49" spans="1:1" x14ac:dyDescent="0.25">
      <c r="A49" s="97" t="s">
        <v>32</v>
      </c>
    </row>
    <row r="50" spans="1:1" x14ac:dyDescent="0.25">
      <c r="A50" s="96" t="s">
        <v>615</v>
      </c>
    </row>
    <row r="51" spans="1:1" x14ac:dyDescent="0.25">
      <c r="A51" s="97" t="s">
        <v>55</v>
      </c>
    </row>
    <row r="52" spans="1:1" x14ac:dyDescent="0.25">
      <c r="A52" s="96" t="s">
        <v>628</v>
      </c>
    </row>
    <row r="53" spans="1:1" x14ac:dyDescent="0.25">
      <c r="A53" s="97" t="s">
        <v>634</v>
      </c>
    </row>
    <row r="54" spans="1:1" x14ac:dyDescent="0.25">
      <c r="A54" s="96" t="s">
        <v>638</v>
      </c>
    </row>
    <row r="55" spans="1:1" x14ac:dyDescent="0.25">
      <c r="A55" s="97" t="s">
        <v>641</v>
      </c>
    </row>
    <row r="56" spans="1:1" x14ac:dyDescent="0.25">
      <c r="A56" s="96" t="s">
        <v>645</v>
      </c>
    </row>
    <row r="57" spans="1:1" x14ac:dyDescent="0.25">
      <c r="A57" s="97" t="s">
        <v>649</v>
      </c>
    </row>
    <row r="58" spans="1:1" x14ac:dyDescent="0.25">
      <c r="A58" s="96" t="s">
        <v>653</v>
      </c>
    </row>
    <row r="59" spans="1:1" x14ac:dyDescent="0.25">
      <c r="A59" s="97" t="s">
        <v>657</v>
      </c>
    </row>
    <row r="60" spans="1:1" x14ac:dyDescent="0.25">
      <c r="A60" s="96" t="s">
        <v>661</v>
      </c>
    </row>
    <row r="61" spans="1:1" x14ac:dyDescent="0.25">
      <c r="A61" s="97" t="s">
        <v>62</v>
      </c>
    </row>
    <row r="62" spans="1:1" x14ac:dyDescent="0.25">
      <c r="A62" s="96" t="s">
        <v>671</v>
      </c>
    </row>
    <row r="63" spans="1:1" x14ac:dyDescent="0.25">
      <c r="A63" s="97" t="s">
        <v>675</v>
      </c>
    </row>
    <row r="64" spans="1:1" x14ac:dyDescent="0.25">
      <c r="A64" s="96" t="s">
        <v>679</v>
      </c>
    </row>
    <row r="65" spans="1:1" x14ac:dyDescent="0.25">
      <c r="A65" s="97" t="s">
        <v>50</v>
      </c>
    </row>
    <row r="66" spans="1:1" x14ac:dyDescent="0.25">
      <c r="A66" s="96" t="s">
        <v>689</v>
      </c>
    </row>
    <row r="67" spans="1:1" x14ac:dyDescent="0.25">
      <c r="A67" s="97" t="s">
        <v>692</v>
      </c>
    </row>
    <row r="68" spans="1:1" x14ac:dyDescent="0.25">
      <c r="A68" s="96" t="s">
        <v>697</v>
      </c>
    </row>
    <row r="69" spans="1:1" x14ac:dyDescent="0.25">
      <c r="A69" s="97" t="s">
        <v>37</v>
      </c>
    </row>
    <row r="70" spans="1:1" x14ac:dyDescent="0.25">
      <c r="A70" s="96" t="s">
        <v>45</v>
      </c>
    </row>
    <row r="71" spans="1:1" x14ac:dyDescent="0.25">
      <c r="A71" s="97" t="s">
        <v>714</v>
      </c>
    </row>
    <row r="72" spans="1:1" x14ac:dyDescent="0.25">
      <c r="A72" s="96" t="s">
        <v>61</v>
      </c>
    </row>
    <row r="73" spans="1:1" x14ac:dyDescent="0.25">
      <c r="A73" s="97" t="s">
        <v>724</v>
      </c>
    </row>
    <row r="74" spans="1:1" x14ac:dyDescent="0.25">
      <c r="A74" s="96" t="s">
        <v>728</v>
      </c>
    </row>
    <row r="75" spans="1:1" x14ac:dyDescent="0.25">
      <c r="A75" s="97" t="s">
        <v>732</v>
      </c>
    </row>
    <row r="76" spans="1:1" x14ac:dyDescent="0.25">
      <c r="A76" s="96" t="s">
        <v>736</v>
      </c>
    </row>
    <row r="77" spans="1:1" x14ac:dyDescent="0.25">
      <c r="A77" s="97" t="s">
        <v>64</v>
      </c>
    </row>
    <row r="78" spans="1:1" x14ac:dyDescent="0.25">
      <c r="A78" s="96" t="s">
        <v>746</v>
      </c>
    </row>
    <row r="79" spans="1:1" x14ac:dyDescent="0.25">
      <c r="A79" s="97" t="s">
        <v>69</v>
      </c>
    </row>
    <row r="80" spans="1:1" x14ac:dyDescent="0.25">
      <c r="A80" s="96" t="s">
        <v>753</v>
      </c>
    </row>
    <row r="81" spans="1:1" x14ac:dyDescent="0.25">
      <c r="A81" s="97" t="s">
        <v>759</v>
      </c>
    </row>
    <row r="82" spans="1:1" x14ac:dyDescent="0.25">
      <c r="A82" s="96" t="s">
        <v>763</v>
      </c>
    </row>
    <row r="83" spans="1:1" x14ac:dyDescent="0.25">
      <c r="A83" s="97" t="s">
        <v>767</v>
      </c>
    </row>
    <row r="84" spans="1:1" x14ac:dyDescent="0.25">
      <c r="A84" s="96" t="s">
        <v>771</v>
      </c>
    </row>
    <row r="85" spans="1:1" x14ac:dyDescent="0.25">
      <c r="A85" s="97" t="s">
        <v>775</v>
      </c>
    </row>
    <row r="86" spans="1:1" x14ac:dyDescent="0.25">
      <c r="A86" s="96" t="s">
        <v>779</v>
      </c>
    </row>
    <row r="87" spans="1:1" x14ac:dyDescent="0.25">
      <c r="A87" s="97" t="s">
        <v>783</v>
      </c>
    </row>
    <row r="88" spans="1:1" x14ac:dyDescent="0.25">
      <c r="A88" s="96" t="s">
        <v>787</v>
      </c>
    </row>
    <row r="89" spans="1:1" x14ac:dyDescent="0.25">
      <c r="A89" s="97" t="s">
        <v>791</v>
      </c>
    </row>
    <row r="90" spans="1:1" x14ac:dyDescent="0.25">
      <c r="A90" s="96" t="s">
        <v>795</v>
      </c>
    </row>
    <row r="91" spans="1:1" x14ac:dyDescent="0.25">
      <c r="A91" s="97" t="s">
        <v>54</v>
      </c>
    </row>
    <row r="92" spans="1:1" x14ac:dyDescent="0.25">
      <c r="A92" s="96" t="s">
        <v>806</v>
      </c>
    </row>
    <row r="93" spans="1:1" x14ac:dyDescent="0.25">
      <c r="A93" s="97" t="s">
        <v>810</v>
      </c>
    </row>
    <row r="94" spans="1:1" x14ac:dyDescent="0.25">
      <c r="A94" s="96" t="s">
        <v>814</v>
      </c>
    </row>
    <row r="95" spans="1:1" x14ac:dyDescent="0.25">
      <c r="A95" s="97" t="s">
        <v>817</v>
      </c>
    </row>
    <row r="96" spans="1:1" x14ac:dyDescent="0.25">
      <c r="A96" s="96" t="s">
        <v>65</v>
      </c>
    </row>
    <row r="97" spans="1:1" x14ac:dyDescent="0.25">
      <c r="A97" s="97" t="s">
        <v>827</v>
      </c>
    </row>
    <row r="98" spans="1:1" x14ac:dyDescent="0.25">
      <c r="A98" s="96" t="s">
        <v>830</v>
      </c>
    </row>
    <row r="99" spans="1:1" x14ac:dyDescent="0.25">
      <c r="A99" s="97" t="s">
        <v>834</v>
      </c>
    </row>
    <row r="100" spans="1:1" x14ac:dyDescent="0.25">
      <c r="A100" s="96" t="s">
        <v>838</v>
      </c>
    </row>
    <row r="101" spans="1:1" x14ac:dyDescent="0.25">
      <c r="A101" s="97" t="s">
        <v>842</v>
      </c>
    </row>
    <row r="102" spans="1:1" x14ac:dyDescent="0.25">
      <c r="A102" s="96" t="s">
        <v>846</v>
      </c>
    </row>
    <row r="103" spans="1:1" x14ac:dyDescent="0.25">
      <c r="A103" s="97" t="s">
        <v>850</v>
      </c>
    </row>
    <row r="104" spans="1:1" x14ac:dyDescent="0.25">
      <c r="A104" s="96" t="s">
        <v>48</v>
      </c>
    </row>
    <row r="105" spans="1:1" x14ac:dyDescent="0.25">
      <c r="A105" s="97" t="s">
        <v>40</v>
      </c>
    </row>
    <row r="106" spans="1:1" x14ac:dyDescent="0.25">
      <c r="A106" s="96" t="s">
        <v>866</v>
      </c>
    </row>
    <row r="107" spans="1:1" x14ac:dyDescent="0.25">
      <c r="A107" s="97" t="s">
        <v>870</v>
      </c>
    </row>
    <row r="108" spans="1:1" x14ac:dyDescent="0.25">
      <c r="A108" s="96" t="s">
        <v>874</v>
      </c>
    </row>
    <row r="109" spans="1:1" x14ac:dyDescent="0.25">
      <c r="A109" s="97" t="s">
        <v>128</v>
      </c>
    </row>
    <row r="110" spans="1:1" x14ac:dyDescent="0.25">
      <c r="A110" s="96" t="s">
        <v>884</v>
      </c>
    </row>
    <row r="111" spans="1:1" x14ac:dyDescent="0.25">
      <c r="A111" s="97" t="s">
        <v>47</v>
      </c>
    </row>
    <row r="112" spans="1:1" x14ac:dyDescent="0.25">
      <c r="A112" s="96" t="s">
        <v>894</v>
      </c>
    </row>
    <row r="113" spans="1:1" x14ac:dyDescent="0.25">
      <c r="A113" s="97" t="s">
        <v>895</v>
      </c>
    </row>
    <row r="114" spans="1:1" x14ac:dyDescent="0.25">
      <c r="A114" s="96" t="s">
        <v>899</v>
      </c>
    </row>
    <row r="115" spans="1:1" x14ac:dyDescent="0.25">
      <c r="A115" s="97" t="s">
        <v>903</v>
      </c>
    </row>
    <row r="116" spans="1:1" x14ac:dyDescent="0.25">
      <c r="A116" s="96" t="s">
        <v>908</v>
      </c>
    </row>
    <row r="117" spans="1:1" x14ac:dyDescent="0.25">
      <c r="A117" s="97" t="s">
        <v>912</v>
      </c>
    </row>
    <row r="118" spans="1:1" x14ac:dyDescent="0.25">
      <c r="A118" s="96" t="s">
        <v>916</v>
      </c>
    </row>
    <row r="119" spans="1:1" x14ac:dyDescent="0.25">
      <c r="A119" s="97" t="s">
        <v>920</v>
      </c>
    </row>
    <row r="120" spans="1:1" x14ac:dyDescent="0.25">
      <c r="A120" s="96" t="s">
        <v>924</v>
      </c>
    </row>
    <row r="121" spans="1:1" x14ac:dyDescent="0.25">
      <c r="A121" s="97" t="s">
        <v>928</v>
      </c>
    </row>
    <row r="122" spans="1:1" x14ac:dyDescent="0.25">
      <c r="A122" s="96" t="s">
        <v>932</v>
      </c>
    </row>
    <row r="123" spans="1:1" x14ac:dyDescent="0.25">
      <c r="A123" s="97" t="s">
        <v>936</v>
      </c>
    </row>
    <row r="124" spans="1:1" x14ac:dyDescent="0.25">
      <c r="A124" s="96" t="s">
        <v>127</v>
      </c>
    </row>
    <row r="125" spans="1:1" x14ac:dyDescent="0.25">
      <c r="A125" s="97" t="s">
        <v>68</v>
      </c>
    </row>
    <row r="126" spans="1:1" x14ac:dyDescent="0.25">
      <c r="A126" s="96" t="s">
        <v>953</v>
      </c>
    </row>
    <row r="127" spans="1:1" x14ac:dyDescent="0.25">
      <c r="A127" s="97" t="s">
        <v>955</v>
      </c>
    </row>
    <row r="128" spans="1:1" x14ac:dyDescent="0.25">
      <c r="A128" s="96" t="s">
        <v>108</v>
      </c>
    </row>
    <row r="129" spans="1:1" x14ac:dyDescent="0.25">
      <c r="A129" s="97" t="s">
        <v>963</v>
      </c>
    </row>
    <row r="130" spans="1:1" x14ac:dyDescent="0.25">
      <c r="A130" s="96" t="s">
        <v>967</v>
      </c>
    </row>
    <row r="131" spans="1:1" x14ac:dyDescent="0.25">
      <c r="A131" s="97" t="s">
        <v>971</v>
      </c>
    </row>
    <row r="132" spans="1:1" x14ac:dyDescent="0.25">
      <c r="A132" s="96" t="s">
        <v>975</v>
      </c>
    </row>
    <row r="133" spans="1:1" x14ac:dyDescent="0.25">
      <c r="A133" s="97" t="s">
        <v>46</v>
      </c>
    </row>
    <row r="134" spans="1:1" x14ac:dyDescent="0.25">
      <c r="A134" s="96" t="s">
        <v>67</v>
      </c>
    </row>
    <row r="135" spans="1:1" x14ac:dyDescent="0.25">
      <c r="A135" s="97" t="s">
        <v>991</v>
      </c>
    </row>
    <row r="136" spans="1:1" x14ac:dyDescent="0.25">
      <c r="A136" s="96" t="s">
        <v>51</v>
      </c>
    </row>
    <row r="137" spans="1:1" x14ac:dyDescent="0.25">
      <c r="A137" s="97" t="s">
        <v>1000</v>
      </c>
    </row>
    <row r="138" spans="1:1" x14ac:dyDescent="0.25">
      <c r="A138" s="96" t="s">
        <v>1005</v>
      </c>
    </row>
    <row r="139" spans="1:1" x14ac:dyDescent="0.25">
      <c r="A139" s="97" t="s">
        <v>59</v>
      </c>
    </row>
    <row r="140" spans="1:1" x14ac:dyDescent="0.25">
      <c r="A140" s="96" t="s">
        <v>1015</v>
      </c>
    </row>
    <row r="141" spans="1:1" x14ac:dyDescent="0.25">
      <c r="A141" s="97" t="s">
        <v>1019</v>
      </c>
    </row>
    <row r="142" spans="1:1" x14ac:dyDescent="0.25">
      <c r="A142" s="96" t="s">
        <v>112</v>
      </c>
    </row>
    <row r="143" spans="1:1" x14ac:dyDescent="0.25">
      <c r="A143" s="97" t="s">
        <v>1027</v>
      </c>
    </row>
    <row r="144" spans="1:1" x14ac:dyDescent="0.25">
      <c r="A144" s="96" t="s">
        <v>1031</v>
      </c>
    </row>
    <row r="145" spans="1:1" x14ac:dyDescent="0.25">
      <c r="A145" s="97" t="s">
        <v>1035</v>
      </c>
    </row>
    <row r="146" spans="1:1" x14ac:dyDescent="0.25">
      <c r="A146" s="96" t="s">
        <v>1038</v>
      </c>
    </row>
    <row r="147" spans="1:1" x14ac:dyDescent="0.25">
      <c r="A147" s="97" t="s">
        <v>1042</v>
      </c>
    </row>
    <row r="148" spans="1:1" x14ac:dyDescent="0.25">
      <c r="A148" s="96" t="s">
        <v>1046</v>
      </c>
    </row>
    <row r="149" spans="1:1" x14ac:dyDescent="0.25">
      <c r="A149" s="97" t="s">
        <v>1049</v>
      </c>
    </row>
    <row r="150" spans="1:1" x14ac:dyDescent="0.25">
      <c r="A150" s="96" t="s">
        <v>1053</v>
      </c>
    </row>
    <row r="151" spans="1:1" x14ac:dyDescent="0.25">
      <c r="A151" s="97" t="s">
        <v>1057</v>
      </c>
    </row>
    <row r="152" spans="1:1" x14ac:dyDescent="0.25">
      <c r="A152" s="96" t="s">
        <v>99</v>
      </c>
    </row>
    <row r="153" spans="1:1" x14ac:dyDescent="0.25">
      <c r="A153" s="97" t="s">
        <v>1064</v>
      </c>
    </row>
    <row r="154" spans="1:1" x14ac:dyDescent="0.25">
      <c r="A154" s="96" t="s">
        <v>1068</v>
      </c>
    </row>
    <row r="155" spans="1:1" x14ac:dyDescent="0.25">
      <c r="A155" s="97" t="s">
        <v>1072</v>
      </c>
    </row>
    <row r="156" spans="1:1" x14ac:dyDescent="0.25">
      <c r="A156" s="96" t="s">
        <v>1076</v>
      </c>
    </row>
    <row r="157" spans="1:1" x14ac:dyDescent="0.25">
      <c r="A157" s="97" t="s">
        <v>1080</v>
      </c>
    </row>
    <row r="158" spans="1:1" x14ac:dyDescent="0.25">
      <c r="A158" s="96" t="s">
        <v>1088</v>
      </c>
    </row>
    <row r="159" spans="1:1" x14ac:dyDescent="0.25">
      <c r="A159" s="97" t="s">
        <v>60</v>
      </c>
    </row>
    <row r="160" spans="1:1" x14ac:dyDescent="0.25">
      <c r="A160" s="96" t="s">
        <v>63</v>
      </c>
    </row>
    <row r="161" spans="1:1" x14ac:dyDescent="0.25">
      <c r="A161" s="97" t="s">
        <v>1103</v>
      </c>
    </row>
    <row r="162" spans="1:1" x14ac:dyDescent="0.25">
      <c r="A162" s="96" t="s">
        <v>1106</v>
      </c>
    </row>
    <row r="163" spans="1:1" x14ac:dyDescent="0.25">
      <c r="A163" s="97" t="s">
        <v>1110</v>
      </c>
    </row>
    <row r="164" spans="1:1" x14ac:dyDescent="0.25">
      <c r="A164" s="96" t="s">
        <v>1114</v>
      </c>
    </row>
    <row r="165" spans="1:1" x14ac:dyDescent="0.25">
      <c r="A165" s="97" t="s">
        <v>39</v>
      </c>
    </row>
    <row r="166" spans="1:1" x14ac:dyDescent="0.25">
      <c r="A166" s="96" t="s">
        <v>1124</v>
      </c>
    </row>
    <row r="167" spans="1:1" x14ac:dyDescent="0.25">
      <c r="A167" s="97" t="s">
        <v>1128</v>
      </c>
    </row>
    <row r="168" spans="1:1" x14ac:dyDescent="0.25">
      <c r="A168" s="96" t="s">
        <v>49</v>
      </c>
    </row>
    <row r="169" spans="1:1" x14ac:dyDescent="0.25">
      <c r="A169" s="97" t="s">
        <v>1139</v>
      </c>
    </row>
    <row r="170" spans="1:1" x14ac:dyDescent="0.25">
      <c r="A170" s="96" t="s">
        <v>1143</v>
      </c>
    </row>
    <row r="171" spans="1:1" x14ac:dyDescent="0.25">
      <c r="A171" s="97" t="s">
        <v>1147</v>
      </c>
    </row>
    <row r="172" spans="1:1" x14ac:dyDescent="0.25">
      <c r="A172" s="96" t="s">
        <v>1151</v>
      </c>
    </row>
    <row r="173" spans="1:1" x14ac:dyDescent="0.25">
      <c r="A173" s="97" t="s">
        <v>41</v>
      </c>
    </row>
    <row r="174" spans="1:1" x14ac:dyDescent="0.25">
      <c r="A174" s="96" t="s">
        <v>117</v>
      </c>
    </row>
    <row r="175" spans="1:1" x14ac:dyDescent="0.25">
      <c r="A175" s="97" t="s">
        <v>1166</v>
      </c>
    </row>
    <row r="176" spans="1:1" x14ac:dyDescent="0.25">
      <c r="A176" s="96" t="s">
        <v>1170</v>
      </c>
    </row>
    <row r="177" spans="1:1" x14ac:dyDescent="0.25">
      <c r="A177" s="97" t="s">
        <v>1174</v>
      </c>
    </row>
    <row r="178" spans="1:1" x14ac:dyDescent="0.25">
      <c r="A178" s="96" t="s">
        <v>74</v>
      </c>
    </row>
    <row r="179" spans="1:1" x14ac:dyDescent="0.25">
      <c r="A179" s="97" t="s">
        <v>1181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D6DD3-7A02-4C65-8C1F-ABFF97F8CD51}">
  <sheetPr codeName="Sheet3"/>
  <dimension ref="A1:X1002"/>
  <sheetViews>
    <sheetView workbookViewId="0">
      <selection activeCell="J2" sqref="J2"/>
    </sheetView>
  </sheetViews>
  <sheetFormatPr defaultRowHeight="15" x14ac:dyDescent="0.25"/>
  <cols>
    <col min="1" max="1" width="7.5" style="7" customWidth="1"/>
    <col min="2" max="2" width="12.125" style="7" bestFit="1" customWidth="1"/>
    <col min="3" max="3" width="13.25" style="7" bestFit="1" customWidth="1"/>
    <col min="4" max="4" width="9.375" style="7" customWidth="1"/>
    <col min="5" max="5" width="2.5" style="7" customWidth="1"/>
    <col min="6" max="6" width="13.375" style="7" customWidth="1"/>
    <col min="7" max="7" width="5" style="7" customWidth="1"/>
    <col min="8" max="8" width="11.125" style="7" bestFit="1" customWidth="1"/>
    <col min="9" max="9" width="2.5" style="7" customWidth="1"/>
    <col min="10" max="10" width="15.75" style="7" bestFit="1" customWidth="1"/>
    <col min="11" max="11" width="14.5" style="7" bestFit="1" customWidth="1"/>
    <col min="12" max="12" width="12.125" style="7" bestFit="1" customWidth="1"/>
    <col min="13" max="13" width="17.25" style="7" bestFit="1" customWidth="1"/>
    <col min="14" max="14" width="9" style="7" bestFit="1" customWidth="1"/>
    <col min="15" max="15" width="2.375" style="7" customWidth="1"/>
    <col min="16" max="16" width="16.625" style="7" customWidth="1"/>
    <col min="17" max="17" width="11.25" style="7" bestFit="1" customWidth="1"/>
    <col min="18" max="19" width="9" style="7"/>
    <col min="20" max="20" width="7.375" style="7" bestFit="1" customWidth="1"/>
    <col min="21" max="21" width="9" style="7"/>
    <col min="22" max="22" width="9.875" style="7" bestFit="1" customWidth="1"/>
    <col min="23" max="23" width="9.5" style="7" bestFit="1" customWidth="1"/>
    <col min="24" max="24" width="10.5" style="7" bestFit="1" customWidth="1"/>
    <col min="25" max="16384" width="9" style="7"/>
  </cols>
  <sheetData>
    <row r="1" spans="1:24" x14ac:dyDescent="0.25">
      <c r="A1" s="94" t="s">
        <v>1200</v>
      </c>
      <c r="B1" s="94"/>
      <c r="C1" s="94" t="s">
        <v>1201</v>
      </c>
      <c r="D1" s="94"/>
      <c r="E1" s="4"/>
      <c r="F1" s="5" t="s">
        <v>1202</v>
      </c>
      <c r="G1" s="94" t="s">
        <v>1203</v>
      </c>
      <c r="H1" s="94"/>
      <c r="I1" s="4"/>
      <c r="J1" s="94" t="s">
        <v>1204</v>
      </c>
      <c r="K1" s="94"/>
      <c r="L1" s="94"/>
      <c r="M1" s="94"/>
      <c r="N1" s="5"/>
      <c r="O1" s="4"/>
      <c r="P1" s="6" t="s">
        <v>1205</v>
      </c>
      <c r="Q1" s="5" t="s">
        <v>1206</v>
      </c>
      <c r="R1" s="5" t="s">
        <v>1207</v>
      </c>
      <c r="S1" s="5" t="s">
        <v>1208</v>
      </c>
      <c r="T1" s="5" t="s">
        <v>1209</v>
      </c>
      <c r="U1" s="5" t="s">
        <v>1210</v>
      </c>
      <c r="V1" s="5" t="s">
        <v>1211</v>
      </c>
      <c r="W1" s="5" t="s">
        <v>1212</v>
      </c>
      <c r="X1" s="5" t="s">
        <v>1213</v>
      </c>
    </row>
    <row r="2" spans="1:24" x14ac:dyDescent="0.25">
      <c r="A2" s="8" t="s">
        <v>1214</v>
      </c>
      <c r="B2" s="8" t="s">
        <v>1215</v>
      </c>
      <c r="C2" s="9" t="s">
        <v>1216</v>
      </c>
      <c r="D2" s="7">
        <v>9.5121607939096098</v>
      </c>
      <c r="E2" s="4"/>
      <c r="F2" s="8" t="s">
        <v>1217</v>
      </c>
      <c r="G2" s="9" t="s">
        <v>1218</v>
      </c>
      <c r="H2" s="7">
        <f>MIN(F3:F18)</f>
        <v>20</v>
      </c>
      <c r="I2" s="4"/>
      <c r="J2" s="10" t="s">
        <v>1219</v>
      </c>
      <c r="K2" s="10" t="s">
        <v>1220</v>
      </c>
      <c r="L2" s="10" t="s">
        <v>1221</v>
      </c>
      <c r="M2" s="10" t="s">
        <v>1222</v>
      </c>
      <c r="N2" s="10" t="s">
        <v>1223</v>
      </c>
      <c r="O2" s="4"/>
      <c r="P2" s="9" t="s">
        <v>1224</v>
      </c>
      <c r="Q2" s="11">
        <f ca="1">MEDIAN(M3:M1002)</f>
        <v>244.67740738695568</v>
      </c>
      <c r="R2" s="12">
        <v>237.5</v>
      </c>
      <c r="S2" s="13">
        <f ca="1">(COUNTIF(N3:N1002,1))/COUNT(N3:N1002)</f>
        <v>0.52400000000000002</v>
      </c>
      <c r="T2" s="13">
        <f ca="1">1-S2</f>
        <v>0.47599999999999998</v>
      </c>
      <c r="U2" s="8">
        <v>1.98</v>
      </c>
      <c r="V2" s="8">
        <v>1.877</v>
      </c>
      <c r="W2" s="14">
        <f ca="1">S2*U2-1</f>
        <v>3.7519999999999998E-2</v>
      </c>
      <c r="X2" s="14">
        <f ca="1">T2*V2-1</f>
        <v>-0.10654800000000009</v>
      </c>
    </row>
    <row r="3" spans="1:24" x14ac:dyDescent="0.25">
      <c r="A3" s="15">
        <v>5.22</v>
      </c>
      <c r="B3" s="12">
        <f t="shared" ref="B3:B18" si="0">($D$3-1)*LN(A3)-(A3/$D$2)^$D$3</f>
        <v>3.2947606232117184</v>
      </c>
      <c r="C3" s="9" t="s">
        <v>1225</v>
      </c>
      <c r="D3" s="7">
        <v>3.0886343391380344</v>
      </c>
      <c r="E3" s="4"/>
      <c r="F3" s="15">
        <v>27</v>
      </c>
      <c r="G3" s="9" t="s">
        <v>1226</v>
      </c>
      <c r="H3" s="7">
        <f>MAX(F3:F18)</f>
        <v>46</v>
      </c>
      <c r="I3" s="4"/>
      <c r="J3" s="16">
        <f ca="1">$D$2*(-LN(1-RAND()))^(1/$D$3)</f>
        <v>4.5279340610541938</v>
      </c>
      <c r="K3" s="16">
        <f ca="1">RAND()*($H$3-$H$2)+$H$2</f>
        <v>30.703657813874855</v>
      </c>
      <c r="L3" s="17">
        <f>$D$22</f>
        <v>0.90476190476190477</v>
      </c>
      <c r="M3" s="16">
        <f ca="1">J3*K3*L3</f>
        <v>125.78374391778749</v>
      </c>
      <c r="N3" s="18">
        <f ca="1">IF(M3&gt;$R$2,1,0)</f>
        <v>0</v>
      </c>
      <c r="O3" s="4"/>
    </row>
    <row r="4" spans="1:24" x14ac:dyDescent="0.25">
      <c r="A4" s="15">
        <v>12.44</v>
      </c>
      <c r="B4" s="12">
        <f t="shared" si="0"/>
        <v>2.9746534897668107</v>
      </c>
      <c r="C4" s="9" t="s">
        <v>1227</v>
      </c>
      <c r="D4" s="7">
        <f>COUNT(A3:A18)</f>
        <v>16</v>
      </c>
      <c r="E4" s="4"/>
      <c r="F4" s="15">
        <v>25</v>
      </c>
      <c r="G4" s="9" t="s">
        <v>1227</v>
      </c>
      <c r="H4" s="7">
        <f>COUNT(F3:F18)</f>
        <v>16</v>
      </c>
      <c r="I4" s="4"/>
      <c r="J4" s="16">
        <f t="shared" ref="J4:J67" ca="1" si="1">$D$2*(-LN(1-RAND()))^(1/$D$3)</f>
        <v>8.6371269093871597</v>
      </c>
      <c r="K4" s="16">
        <f t="shared" ref="K4:K67" ca="1" si="2">RAND()*($H$3-$H$2)+$H$2</f>
        <v>44.614443695341038</v>
      </c>
      <c r="L4" s="17">
        <f t="shared" ref="L4:L67" si="3">$D$22</f>
        <v>0.90476190476190477</v>
      </c>
      <c r="M4" s="16">
        <f t="shared" ref="M4:M17" ca="1" si="4">J4*K4*L4</f>
        <v>348.64150626566664</v>
      </c>
      <c r="N4" s="18">
        <f t="shared" ref="N4:N67" ca="1" si="5">IF(M4&gt;$R$2,1,0)</f>
        <v>1</v>
      </c>
      <c r="O4" s="4"/>
      <c r="P4" s="15"/>
    </row>
    <row r="5" spans="1:24" x14ac:dyDescent="0.25">
      <c r="A5" s="15">
        <v>6.47</v>
      </c>
      <c r="B5" s="12">
        <f t="shared" si="0"/>
        <v>3.595731535581745</v>
      </c>
      <c r="C5" s="9" t="s">
        <v>1228</v>
      </c>
      <c r="D5" s="7">
        <f>D4*(LN(D3)-D3*LN(D2))+B19</f>
        <v>-39.78919244651793</v>
      </c>
      <c r="E5" s="4"/>
      <c r="F5" s="15">
        <v>32</v>
      </c>
      <c r="G5" s="19"/>
      <c r="H5" s="4"/>
      <c r="I5" s="4"/>
      <c r="J5" s="16">
        <f t="shared" ca="1" si="1"/>
        <v>10.063969244225239</v>
      </c>
      <c r="K5" s="16">
        <f t="shared" ca="1" si="2"/>
        <v>38.896015212084244</v>
      </c>
      <c r="L5" s="17">
        <f t="shared" si="3"/>
        <v>0.90476190476190477</v>
      </c>
      <c r="M5" s="16">
        <f t="shared" ca="1" si="4"/>
        <v>354.16751026330121</v>
      </c>
      <c r="N5" s="18">
        <f t="shared" ca="1" si="5"/>
        <v>1</v>
      </c>
      <c r="O5" s="4"/>
      <c r="P5" s="20"/>
    </row>
    <row r="6" spans="1:24" x14ac:dyDescent="0.25">
      <c r="A6" s="15">
        <v>7.62</v>
      </c>
      <c r="B6" s="12">
        <f t="shared" si="0"/>
        <v>3.7374805593734024</v>
      </c>
      <c r="C6" s="21"/>
      <c r="D6" s="21"/>
      <c r="E6" s="4"/>
      <c r="F6" s="15">
        <v>29</v>
      </c>
      <c r="G6" s="12"/>
      <c r="H6" s="12"/>
      <c r="I6" s="4"/>
      <c r="J6" s="16">
        <f t="shared" ca="1" si="1"/>
        <v>8.528581682622999</v>
      </c>
      <c r="K6" s="16">
        <f t="shared" ca="1" si="2"/>
        <v>31.708456584289621</v>
      </c>
      <c r="L6" s="17">
        <f t="shared" si="3"/>
        <v>0.90476190476190477</v>
      </c>
      <c r="M6" s="16">
        <f t="shared" ca="1" si="4"/>
        <v>244.6730989605411</v>
      </c>
      <c r="N6" s="18">
        <f t="shared" ca="1" si="5"/>
        <v>1</v>
      </c>
      <c r="O6" s="4"/>
    </row>
    <row r="7" spans="1:24" x14ac:dyDescent="0.25">
      <c r="A7" s="15">
        <v>6</v>
      </c>
      <c r="B7" s="12">
        <f t="shared" si="0"/>
        <v>3.5014075032011851</v>
      </c>
      <c r="C7" s="12"/>
      <c r="D7" s="12"/>
      <c r="E7" s="4"/>
      <c r="F7" s="15">
        <v>33</v>
      </c>
      <c r="G7" s="12"/>
      <c r="H7" s="12"/>
      <c r="I7" s="4"/>
      <c r="J7" s="16">
        <f t="shared" ca="1" si="1"/>
        <v>13.097107720649406</v>
      </c>
      <c r="K7" s="16">
        <f t="shared" ca="1" si="2"/>
        <v>20.741837629931887</v>
      </c>
      <c r="L7" s="17">
        <f t="shared" si="3"/>
        <v>0.90476190476190477</v>
      </c>
      <c r="M7" s="16">
        <f t="shared" ca="1" si="4"/>
        <v>245.78588350025277</v>
      </c>
      <c r="N7" s="18">
        <f t="shared" ca="1" si="5"/>
        <v>1</v>
      </c>
      <c r="O7" s="4"/>
    </row>
    <row r="8" spans="1:24" x14ac:dyDescent="0.25">
      <c r="A8" s="15">
        <v>5.05</v>
      </c>
      <c r="B8" s="12">
        <f t="shared" si="0"/>
        <v>3.2408402615945473</v>
      </c>
      <c r="C8" s="12"/>
      <c r="D8" s="12"/>
      <c r="E8" s="4"/>
      <c r="F8" s="15">
        <v>21</v>
      </c>
      <c r="G8" s="12"/>
      <c r="H8" s="12"/>
      <c r="I8" s="4"/>
      <c r="J8" s="16">
        <f t="shared" ca="1" si="1"/>
        <v>10.576048593650706</v>
      </c>
      <c r="K8" s="16">
        <f t="shared" ca="1" si="2"/>
        <v>24.599552071418902</v>
      </c>
      <c r="L8" s="17">
        <f t="shared" si="3"/>
        <v>0.90476190476190477</v>
      </c>
      <c r="M8" s="16">
        <f t="shared" ca="1" si="4"/>
        <v>235.38833827133223</v>
      </c>
      <c r="N8" s="18">
        <f t="shared" ca="1" si="5"/>
        <v>0</v>
      </c>
      <c r="O8" s="4"/>
      <c r="X8" s="22"/>
    </row>
    <row r="9" spans="1:24" x14ac:dyDescent="0.25">
      <c r="A9" s="15">
        <v>7.73</v>
      </c>
      <c r="B9" s="12">
        <f t="shared" si="0"/>
        <v>3.7446006026858569</v>
      </c>
      <c r="C9" s="12"/>
      <c r="D9" s="12"/>
      <c r="E9" s="4"/>
      <c r="F9" s="15">
        <v>22</v>
      </c>
      <c r="G9" s="12"/>
      <c r="H9" s="12"/>
      <c r="I9" s="4"/>
      <c r="J9" s="16">
        <f t="shared" ca="1" si="1"/>
        <v>12.179500012336737</v>
      </c>
      <c r="K9" s="16">
        <f t="shared" ca="1" si="2"/>
        <v>43.706150642535995</v>
      </c>
      <c r="L9" s="17">
        <f t="shared" si="3"/>
        <v>0.90476190476190477</v>
      </c>
      <c r="M9" s="16">
        <f t="shared" ca="1" si="4"/>
        <v>481.62200873853379</v>
      </c>
      <c r="N9" s="18">
        <f t="shared" ca="1" si="5"/>
        <v>1</v>
      </c>
      <c r="O9" s="4"/>
    </row>
    <row r="10" spans="1:24" x14ac:dyDescent="0.25">
      <c r="A10" s="15">
        <v>10.73</v>
      </c>
      <c r="B10" s="12">
        <f t="shared" si="0"/>
        <v>3.5056487677335548</v>
      </c>
      <c r="C10" s="12"/>
      <c r="D10" s="12"/>
      <c r="E10" s="4"/>
      <c r="F10" s="15">
        <v>37</v>
      </c>
      <c r="G10" s="12"/>
      <c r="H10" s="12"/>
      <c r="I10" s="4"/>
      <c r="J10" s="16">
        <f t="shared" ca="1" si="1"/>
        <v>7.0460024249862787</v>
      </c>
      <c r="K10" s="16">
        <f t="shared" ca="1" si="2"/>
        <v>26.117941772805615</v>
      </c>
      <c r="L10" s="17">
        <f t="shared" si="3"/>
        <v>0.90476190476190477</v>
      </c>
      <c r="M10" s="16">
        <f t="shared" ca="1" si="4"/>
        <v>166.50069239380653</v>
      </c>
      <c r="N10" s="18">
        <f t="shared" ca="1" si="5"/>
        <v>0</v>
      </c>
      <c r="O10" s="4"/>
    </row>
    <row r="11" spans="1:24" x14ac:dyDescent="0.25">
      <c r="A11" s="15">
        <v>4.8499999999999996</v>
      </c>
      <c r="B11" s="12">
        <f t="shared" si="0"/>
        <v>3.1730389449512044</v>
      </c>
      <c r="C11" s="12"/>
      <c r="D11" s="12"/>
      <c r="E11" s="4"/>
      <c r="F11" s="15">
        <v>46</v>
      </c>
      <c r="G11" s="12"/>
      <c r="H11" s="12"/>
      <c r="I11" s="4"/>
      <c r="J11" s="16">
        <f t="shared" ca="1" si="1"/>
        <v>12.469329398736059</v>
      </c>
      <c r="K11" s="16">
        <f t="shared" ca="1" si="2"/>
        <v>32.802131001741401</v>
      </c>
      <c r="L11" s="17">
        <f t="shared" si="3"/>
        <v>0.90476190476190477</v>
      </c>
      <c r="M11" s="16">
        <f t="shared" ca="1" si="4"/>
        <v>370.0662358277574</v>
      </c>
      <c r="N11" s="18">
        <f t="shared" ca="1" si="5"/>
        <v>1</v>
      </c>
      <c r="O11" s="4"/>
    </row>
    <row r="12" spans="1:24" x14ac:dyDescent="0.25">
      <c r="A12" s="15">
        <v>9.1999999999999993</v>
      </c>
      <c r="B12" s="12">
        <f t="shared" si="0"/>
        <v>3.7330319820737792</v>
      </c>
      <c r="C12" s="12"/>
      <c r="D12" s="12"/>
      <c r="E12" s="4"/>
      <c r="F12" s="15">
        <v>45</v>
      </c>
      <c r="G12" s="12"/>
      <c r="H12" s="12"/>
      <c r="I12" s="4"/>
      <c r="J12" s="16">
        <f t="shared" ca="1" si="1"/>
        <v>9.6986258930364748</v>
      </c>
      <c r="K12" s="16">
        <f t="shared" ca="1" si="2"/>
        <v>25.58985252248884</v>
      </c>
      <c r="L12" s="17">
        <f t="shared" si="3"/>
        <v>0.90476190476190477</v>
      </c>
      <c r="M12" s="16">
        <f t="shared" ca="1" si="4"/>
        <v>224.54960567610979</v>
      </c>
      <c r="N12" s="18">
        <f t="shared" ca="1" si="5"/>
        <v>0</v>
      </c>
      <c r="O12" s="4"/>
    </row>
    <row r="13" spans="1:24" x14ac:dyDescent="0.25">
      <c r="A13" s="15">
        <v>14.65</v>
      </c>
      <c r="B13" s="12">
        <f t="shared" si="0"/>
        <v>1.8110481590382035</v>
      </c>
      <c r="C13" s="12"/>
      <c r="D13" s="12"/>
      <c r="E13" s="4"/>
      <c r="F13" s="15">
        <v>20</v>
      </c>
      <c r="G13" s="12"/>
      <c r="H13" s="12"/>
      <c r="I13" s="4"/>
      <c r="J13" s="16">
        <f t="shared" ca="1" si="1"/>
        <v>12.526220676369158</v>
      </c>
      <c r="K13" s="16">
        <f t="shared" ca="1" si="2"/>
        <v>34.278264105288144</v>
      </c>
      <c r="L13" s="17">
        <f t="shared" si="3"/>
        <v>0.90476190476190477</v>
      </c>
      <c r="M13" s="16">
        <f t="shared" ca="1" si="4"/>
        <v>388.48404338706473</v>
      </c>
      <c r="N13" s="18">
        <f t="shared" ca="1" si="5"/>
        <v>1</v>
      </c>
      <c r="O13" s="4"/>
    </row>
    <row r="14" spans="1:24" x14ac:dyDescent="0.25">
      <c r="A14" s="15">
        <v>8.81</v>
      </c>
      <c r="B14" s="12">
        <f t="shared" si="0"/>
        <v>3.7555217434535813</v>
      </c>
      <c r="C14" s="12"/>
      <c r="D14" s="12"/>
      <c r="E14" s="4"/>
      <c r="F14" s="15">
        <v>21</v>
      </c>
      <c r="G14" s="12"/>
      <c r="H14" s="12"/>
      <c r="I14" s="4"/>
      <c r="J14" s="16">
        <f t="shared" ca="1" si="1"/>
        <v>1.673181916638355</v>
      </c>
      <c r="K14" s="16">
        <f t="shared" ca="1" si="2"/>
        <v>24.432449017157463</v>
      </c>
      <c r="L14" s="17">
        <f t="shared" si="3"/>
        <v>0.90476190476190477</v>
      </c>
      <c r="M14" s="16">
        <f t="shared" ca="1" si="4"/>
        <v>36.986605029487237</v>
      </c>
      <c r="N14" s="18">
        <f t="shared" ca="1" si="5"/>
        <v>0</v>
      </c>
      <c r="O14" s="4"/>
      <c r="W14" s="14"/>
      <c r="X14" s="14"/>
    </row>
    <row r="15" spans="1:24" x14ac:dyDescent="0.25">
      <c r="A15" s="15">
        <v>10.97</v>
      </c>
      <c r="B15" s="12">
        <f t="shared" si="0"/>
        <v>3.4492655193007944</v>
      </c>
      <c r="C15" s="12"/>
      <c r="D15" s="12"/>
      <c r="E15" s="4"/>
      <c r="F15" s="15">
        <v>35</v>
      </c>
      <c r="G15" s="12"/>
      <c r="H15" s="12"/>
      <c r="I15" s="4"/>
      <c r="J15" s="16">
        <f t="shared" ca="1" si="1"/>
        <v>9.7868455865635351</v>
      </c>
      <c r="K15" s="16">
        <f t="shared" ca="1" si="2"/>
        <v>25.537287494333043</v>
      </c>
      <c r="L15" s="17">
        <f t="shared" si="3"/>
        <v>0.90476190476190477</v>
      </c>
      <c r="M15" s="16">
        <f t="shared" ca="1" si="4"/>
        <v>226.12668089179201</v>
      </c>
      <c r="N15" s="18">
        <f t="shared" ca="1" si="5"/>
        <v>0</v>
      </c>
      <c r="O15" s="4"/>
      <c r="W15" s="14"/>
      <c r="X15" s="14"/>
    </row>
    <row r="16" spans="1:24" x14ac:dyDescent="0.25">
      <c r="A16" s="15">
        <v>6.47</v>
      </c>
      <c r="B16" s="12">
        <f t="shared" si="0"/>
        <v>3.595731535581745</v>
      </c>
      <c r="C16" s="12"/>
      <c r="D16" s="12"/>
      <c r="E16" s="4"/>
      <c r="F16" s="15">
        <v>34</v>
      </c>
      <c r="G16" s="12"/>
      <c r="H16" s="12"/>
      <c r="I16" s="4"/>
      <c r="J16" s="16">
        <f t="shared" ca="1" si="1"/>
        <v>10.976623913048996</v>
      </c>
      <c r="K16" s="16">
        <f t="shared" ca="1" si="2"/>
        <v>30.448188587301317</v>
      </c>
      <c r="L16" s="17">
        <f t="shared" si="3"/>
        <v>0.90476190476190477</v>
      </c>
      <c r="M16" s="16">
        <f t="shared" ca="1" si="4"/>
        <v>302.38799924626414</v>
      </c>
      <c r="N16" s="18">
        <f t="shared" ca="1" si="5"/>
        <v>1</v>
      </c>
      <c r="O16" s="4"/>
    </row>
    <row r="17" spans="1:15" x14ac:dyDescent="0.25">
      <c r="A17" s="15">
        <v>6.59</v>
      </c>
      <c r="B17" s="12">
        <f t="shared" si="0"/>
        <v>3.6163537393246066</v>
      </c>
      <c r="C17" s="12"/>
      <c r="D17" s="12"/>
      <c r="E17" s="4"/>
      <c r="F17" s="15">
        <v>27</v>
      </c>
      <c r="G17" s="12"/>
      <c r="H17" s="12"/>
      <c r="I17" s="4"/>
      <c r="J17" s="16">
        <f t="shared" ca="1" si="1"/>
        <v>4.2958370909919266</v>
      </c>
      <c r="K17" s="16">
        <f t="shared" ca="1" si="2"/>
        <v>41.305426902960818</v>
      </c>
      <c r="L17" s="17">
        <f t="shared" si="3"/>
        <v>0.90476190476190477</v>
      </c>
      <c r="M17" s="16">
        <f t="shared" ca="1" si="4"/>
        <v>160.54220543004297</v>
      </c>
      <c r="N17" s="18">
        <f t="shared" ca="1" si="5"/>
        <v>0</v>
      </c>
      <c r="O17" s="4"/>
    </row>
    <row r="18" spans="1:15" x14ac:dyDescent="0.25">
      <c r="A18" s="15">
        <v>12.95</v>
      </c>
      <c r="B18" s="12">
        <f t="shared" si="0"/>
        <v>2.7559214907896723</v>
      </c>
      <c r="C18" s="12"/>
      <c r="D18" s="12"/>
      <c r="E18" s="4"/>
      <c r="F18" s="15">
        <v>22</v>
      </c>
      <c r="G18" s="12"/>
      <c r="H18" s="12"/>
      <c r="I18" s="4"/>
      <c r="J18" s="16">
        <f t="shared" ca="1" si="1"/>
        <v>11.593833335627748</v>
      </c>
      <c r="K18" s="16">
        <f t="shared" ca="1" si="2"/>
        <v>44.35391298305899</v>
      </c>
      <c r="L18" s="17">
        <f t="shared" si="3"/>
        <v>0.90476190476190477</v>
      </c>
      <c r="M18" s="16">
        <f ca="1">J18*K18*L18</f>
        <v>465.25741063151963</v>
      </c>
      <c r="N18" s="18">
        <f t="shared" ca="1" si="5"/>
        <v>1</v>
      </c>
      <c r="O18" s="4"/>
    </row>
    <row r="19" spans="1:15" x14ac:dyDescent="0.25">
      <c r="A19" s="5" t="s">
        <v>1229</v>
      </c>
      <c r="B19" s="5">
        <f>SUM(B3:B18)</f>
        <v>53.485036457662417</v>
      </c>
      <c r="C19" s="23"/>
      <c r="D19" s="23"/>
      <c r="E19" s="4"/>
      <c r="F19" s="5"/>
      <c r="G19" s="23"/>
      <c r="H19" s="23"/>
      <c r="I19" s="4"/>
      <c r="J19" s="16">
        <f t="shared" ca="1" si="1"/>
        <v>13.382563432504588</v>
      </c>
      <c r="K19" s="16">
        <f t="shared" ca="1" si="2"/>
        <v>35.241110331261673</v>
      </c>
      <c r="L19" s="17">
        <f t="shared" si="3"/>
        <v>0.90476190476190477</v>
      </c>
      <c r="M19" s="16">
        <f t="shared" ref="M19:M82" ca="1" si="6">J19*K19*L19</f>
        <v>426.70054735047813</v>
      </c>
      <c r="N19" s="18">
        <f t="shared" ca="1" si="5"/>
        <v>1</v>
      </c>
      <c r="O19" s="4"/>
    </row>
    <row r="20" spans="1:15" x14ac:dyDescent="0.25">
      <c r="J20" s="16">
        <f t="shared" ca="1" si="1"/>
        <v>5.2451615540054108</v>
      </c>
      <c r="K20" s="16">
        <f t="shared" ca="1" si="2"/>
        <v>21.941349665501168</v>
      </c>
      <c r="L20" s="17">
        <f t="shared" si="3"/>
        <v>0.90476190476190477</v>
      </c>
      <c r="M20" s="16">
        <f t="shared" ca="1" si="6"/>
        <v>104.12535954576418</v>
      </c>
      <c r="N20" s="18">
        <f t="shared" ca="1" si="5"/>
        <v>0</v>
      </c>
    </row>
    <row r="21" spans="1:15" x14ac:dyDescent="0.25">
      <c r="A21" s="23" t="s">
        <v>1230</v>
      </c>
      <c r="B21" s="23" t="s">
        <v>1231</v>
      </c>
      <c r="C21" s="23" t="s">
        <v>1232</v>
      </c>
      <c r="D21" s="23" t="s">
        <v>1233</v>
      </c>
      <c r="J21" s="16">
        <f t="shared" ca="1" si="1"/>
        <v>10.2235477866971</v>
      </c>
      <c r="K21" s="16">
        <f t="shared" ca="1" si="2"/>
        <v>27.91995334397599</v>
      </c>
      <c r="L21" s="17">
        <f t="shared" si="3"/>
        <v>0.90476190476190477</v>
      </c>
      <c r="M21" s="16">
        <f t="shared" ca="1" si="6"/>
        <v>258.25612224168327</v>
      </c>
      <c r="N21" s="18">
        <f t="shared" ca="1" si="5"/>
        <v>1</v>
      </c>
    </row>
    <row r="22" spans="1:15" x14ac:dyDescent="0.25">
      <c r="A22" s="10" t="s">
        <v>1234</v>
      </c>
      <c r="B22" s="10">
        <v>5.7</v>
      </c>
      <c r="C22" s="10">
        <v>6.3</v>
      </c>
      <c r="D22" s="7">
        <f>B22/C22</f>
        <v>0.90476190476190477</v>
      </c>
      <c r="J22" s="16">
        <f t="shared" ca="1" si="1"/>
        <v>11.254828441944188</v>
      </c>
      <c r="K22" s="16">
        <f t="shared" ca="1" si="2"/>
        <v>33.744241348998742</v>
      </c>
      <c r="L22" s="17">
        <f t="shared" si="3"/>
        <v>0.90476190476190477</v>
      </c>
      <c r="M22" s="16">
        <f t="shared" ca="1" si="6"/>
        <v>343.61558564020299</v>
      </c>
      <c r="N22" s="18">
        <f t="shared" ca="1" si="5"/>
        <v>1</v>
      </c>
    </row>
    <row r="23" spans="1:15" x14ac:dyDescent="0.25">
      <c r="J23" s="16">
        <f t="shared" ca="1" si="1"/>
        <v>10.271331512260204</v>
      </c>
      <c r="K23" s="16">
        <f t="shared" ca="1" si="2"/>
        <v>29.625775308880669</v>
      </c>
      <c r="L23" s="17">
        <f t="shared" si="3"/>
        <v>0.90476190476190477</v>
      </c>
      <c r="M23" s="16">
        <f t="shared" ca="1" si="6"/>
        <v>275.31557288569905</v>
      </c>
      <c r="N23" s="18">
        <f t="shared" ca="1" si="5"/>
        <v>1</v>
      </c>
    </row>
    <row r="24" spans="1:15" x14ac:dyDescent="0.25">
      <c r="J24" s="16">
        <f t="shared" ca="1" si="1"/>
        <v>11.196962878906707</v>
      </c>
      <c r="K24" s="16">
        <f t="shared" ca="1" si="2"/>
        <v>40.924603644874665</v>
      </c>
      <c r="L24" s="17">
        <f t="shared" si="3"/>
        <v>0.90476190476190477</v>
      </c>
      <c r="M24" s="16">
        <f t="shared" ca="1" si="6"/>
        <v>414.59019471747632</v>
      </c>
      <c r="N24" s="18">
        <f t="shared" ca="1" si="5"/>
        <v>1</v>
      </c>
    </row>
    <row r="25" spans="1:15" x14ac:dyDescent="0.25">
      <c r="J25" s="16">
        <f t="shared" ca="1" si="1"/>
        <v>7.8567383684278091</v>
      </c>
      <c r="K25" s="16">
        <f t="shared" ca="1" si="2"/>
        <v>28.806896691839498</v>
      </c>
      <c r="L25" s="17">
        <f t="shared" si="3"/>
        <v>0.90476190476190477</v>
      </c>
      <c r="M25" s="16">
        <f t="shared" ca="1" si="6"/>
        <v>204.77317903657709</v>
      </c>
      <c r="N25" s="18">
        <f t="shared" ca="1" si="5"/>
        <v>0</v>
      </c>
    </row>
    <row r="26" spans="1:15" x14ac:dyDescent="0.25">
      <c r="J26" s="16">
        <f t="shared" ca="1" si="1"/>
        <v>3.559837773161644</v>
      </c>
      <c r="K26" s="16">
        <f t="shared" ca="1" si="2"/>
        <v>36.866650201112577</v>
      </c>
      <c r="L26" s="17">
        <f t="shared" si="3"/>
        <v>0.90476190476190477</v>
      </c>
      <c r="M26" s="16">
        <f t="shared" ca="1" si="6"/>
        <v>118.74031357910951</v>
      </c>
      <c r="N26" s="18">
        <f t="shared" ca="1" si="5"/>
        <v>0</v>
      </c>
    </row>
    <row r="27" spans="1:15" x14ac:dyDescent="0.25">
      <c r="J27" s="16">
        <f t="shared" ca="1" si="1"/>
        <v>8.3584444705232013</v>
      </c>
      <c r="K27" s="16">
        <f t="shared" ca="1" si="2"/>
        <v>44.886565315526823</v>
      </c>
      <c r="L27" s="17">
        <f t="shared" si="3"/>
        <v>0.90476190476190477</v>
      </c>
      <c r="M27" s="16">
        <f t="shared" ca="1" si="6"/>
        <v>339.45025759926335</v>
      </c>
      <c r="N27" s="18">
        <f t="shared" ca="1" si="5"/>
        <v>1</v>
      </c>
    </row>
    <row r="28" spans="1:15" x14ac:dyDescent="0.25">
      <c r="J28" s="16">
        <f t="shared" ca="1" si="1"/>
        <v>7.9269698367635808</v>
      </c>
      <c r="K28" s="16">
        <f t="shared" ca="1" si="2"/>
        <v>39.574194682671639</v>
      </c>
      <c r="L28" s="17">
        <f t="shared" si="3"/>
        <v>0.90476190476190477</v>
      </c>
      <c r="M28" s="16">
        <f t="shared" ca="1" si="6"/>
        <v>283.82692874815274</v>
      </c>
      <c r="N28" s="18">
        <f t="shared" ca="1" si="5"/>
        <v>1</v>
      </c>
    </row>
    <row r="29" spans="1:15" x14ac:dyDescent="0.25">
      <c r="J29" s="16">
        <f t="shared" ca="1" si="1"/>
        <v>8.5870699170683746</v>
      </c>
      <c r="K29" s="16">
        <f t="shared" ca="1" si="2"/>
        <v>34.816490311361775</v>
      </c>
      <c r="L29" s="17">
        <f t="shared" si="3"/>
        <v>0.90476190476190477</v>
      </c>
      <c r="M29" s="16">
        <f t="shared" ca="1" si="6"/>
        <v>270.4981473733975</v>
      </c>
      <c r="N29" s="18">
        <f t="shared" ca="1" si="5"/>
        <v>1</v>
      </c>
    </row>
    <row r="30" spans="1:15" x14ac:dyDescent="0.25">
      <c r="J30" s="16">
        <f t="shared" ca="1" si="1"/>
        <v>10.148570492967542</v>
      </c>
      <c r="K30" s="16">
        <f t="shared" ca="1" si="2"/>
        <v>21.022287473934487</v>
      </c>
      <c r="L30" s="17">
        <f t="shared" si="3"/>
        <v>0.90476190476190477</v>
      </c>
      <c r="M30" s="16">
        <f t="shared" ca="1" si="6"/>
        <v>193.02748384287625</v>
      </c>
      <c r="N30" s="18">
        <f t="shared" ca="1" si="5"/>
        <v>0</v>
      </c>
    </row>
    <row r="31" spans="1:15" x14ac:dyDescent="0.25">
      <c r="J31" s="16">
        <f t="shared" ca="1" si="1"/>
        <v>6.1351271901936331</v>
      </c>
      <c r="K31" s="16">
        <f t="shared" ca="1" si="2"/>
        <v>32.412286935577285</v>
      </c>
      <c r="L31" s="17">
        <f t="shared" si="3"/>
        <v>0.90476190476190477</v>
      </c>
      <c r="M31" s="16">
        <f t="shared" ca="1" si="6"/>
        <v>179.91507402959732</v>
      </c>
      <c r="N31" s="18">
        <f t="shared" ca="1" si="5"/>
        <v>0</v>
      </c>
    </row>
    <row r="32" spans="1:15" x14ac:dyDescent="0.25">
      <c r="J32" s="16">
        <f t="shared" ca="1" si="1"/>
        <v>11.222839374961978</v>
      </c>
      <c r="K32" s="16">
        <f t="shared" ca="1" si="2"/>
        <v>37.871419330886823</v>
      </c>
      <c r="L32" s="17">
        <f t="shared" si="3"/>
        <v>0.90476190476190477</v>
      </c>
      <c r="M32" s="16">
        <f t="shared" ca="1" si="6"/>
        <v>384.54629833309923</v>
      </c>
      <c r="N32" s="18">
        <f t="shared" ca="1" si="5"/>
        <v>1</v>
      </c>
    </row>
    <row r="33" spans="10:14" x14ac:dyDescent="0.25">
      <c r="J33" s="16">
        <f t="shared" ca="1" si="1"/>
        <v>9.6216940026583959</v>
      </c>
      <c r="K33" s="16">
        <f t="shared" ca="1" si="2"/>
        <v>24.308108771854567</v>
      </c>
      <c r="L33" s="17">
        <f t="shared" si="3"/>
        <v>0.90476190476190477</v>
      </c>
      <c r="M33" s="16">
        <f t="shared" ca="1" si="6"/>
        <v>211.61040492077618</v>
      </c>
      <c r="N33" s="18">
        <f t="shared" ca="1" si="5"/>
        <v>0</v>
      </c>
    </row>
    <row r="34" spans="10:14" x14ac:dyDescent="0.25">
      <c r="J34" s="16">
        <f t="shared" ca="1" si="1"/>
        <v>8.622306563787216</v>
      </c>
      <c r="K34" s="16">
        <f t="shared" ca="1" si="2"/>
        <v>30.820158853153551</v>
      </c>
      <c r="L34" s="17">
        <f t="shared" si="3"/>
        <v>0.90476190476190477</v>
      </c>
      <c r="M34" s="16">
        <f t="shared" ca="1" si="6"/>
        <v>240.4322048358905</v>
      </c>
      <c r="N34" s="18">
        <f t="shared" ca="1" si="5"/>
        <v>1</v>
      </c>
    </row>
    <row r="35" spans="10:14" x14ac:dyDescent="0.25">
      <c r="J35" s="16">
        <f t="shared" ca="1" si="1"/>
        <v>9.9564014743056894</v>
      </c>
      <c r="K35" s="16">
        <f t="shared" ca="1" si="2"/>
        <v>39.931782552178888</v>
      </c>
      <c r="L35" s="17">
        <f t="shared" si="3"/>
        <v>0.90476190476190477</v>
      </c>
      <c r="M35" s="16">
        <f t="shared" ca="1" si="6"/>
        <v>359.71239594329495</v>
      </c>
      <c r="N35" s="18">
        <f t="shared" ca="1" si="5"/>
        <v>1</v>
      </c>
    </row>
    <row r="36" spans="10:14" x14ac:dyDescent="0.25">
      <c r="J36" s="16">
        <f t="shared" ca="1" si="1"/>
        <v>10.763255850023532</v>
      </c>
      <c r="K36" s="16">
        <f t="shared" ca="1" si="2"/>
        <v>44.03749785227874</v>
      </c>
      <c r="L36" s="17">
        <f t="shared" si="3"/>
        <v>0.90476190476190477</v>
      </c>
      <c r="M36" s="16">
        <f t="shared" ca="1" si="6"/>
        <v>428.84525100951521</v>
      </c>
      <c r="N36" s="18">
        <f t="shared" ca="1" si="5"/>
        <v>1</v>
      </c>
    </row>
    <row r="37" spans="10:14" x14ac:dyDescent="0.25">
      <c r="J37" s="16">
        <f t="shared" ca="1" si="1"/>
        <v>6.3462819190513784</v>
      </c>
      <c r="K37" s="16">
        <f t="shared" ca="1" si="2"/>
        <v>35.901105790399072</v>
      </c>
      <c r="L37" s="17">
        <f t="shared" si="3"/>
        <v>0.90476190476190477</v>
      </c>
      <c r="M37" s="16">
        <f t="shared" ca="1" si="6"/>
        <v>206.13963011807843</v>
      </c>
      <c r="N37" s="18">
        <f t="shared" ca="1" si="5"/>
        <v>0</v>
      </c>
    </row>
    <row r="38" spans="10:14" x14ac:dyDescent="0.25">
      <c r="J38" s="16">
        <f t="shared" ca="1" si="1"/>
        <v>15.414899840945962</v>
      </c>
      <c r="K38" s="16">
        <f t="shared" ca="1" si="2"/>
        <v>22.494577303561933</v>
      </c>
      <c r="L38" s="17">
        <f t="shared" si="3"/>
        <v>0.90476190476190477</v>
      </c>
      <c r="M38" s="16">
        <f t="shared" ca="1" si="6"/>
        <v>313.72768885131649</v>
      </c>
      <c r="N38" s="18">
        <f t="shared" ca="1" si="5"/>
        <v>1</v>
      </c>
    </row>
    <row r="39" spans="10:14" x14ac:dyDescent="0.25">
      <c r="J39" s="16">
        <f t="shared" ca="1" si="1"/>
        <v>6.7774552537065977</v>
      </c>
      <c r="K39" s="16">
        <f t="shared" ca="1" si="2"/>
        <v>35.772474868174918</v>
      </c>
      <c r="L39" s="17">
        <f t="shared" si="3"/>
        <v>0.90476190476190477</v>
      </c>
      <c r="M39" s="16">
        <f t="shared" ca="1" si="6"/>
        <v>219.3562193778375</v>
      </c>
      <c r="N39" s="18">
        <f t="shared" ca="1" si="5"/>
        <v>0</v>
      </c>
    </row>
    <row r="40" spans="10:14" x14ac:dyDescent="0.25">
      <c r="J40" s="16">
        <f t="shared" ca="1" si="1"/>
        <v>11.613945344075002</v>
      </c>
      <c r="K40" s="16">
        <f t="shared" ca="1" si="2"/>
        <v>23.331446360420401</v>
      </c>
      <c r="L40" s="17">
        <f t="shared" si="3"/>
        <v>0.90476190476190477</v>
      </c>
      <c r="M40" s="16">
        <f t="shared" ca="1" si="6"/>
        <v>245.1634625587935</v>
      </c>
      <c r="N40" s="18">
        <f t="shared" ca="1" si="5"/>
        <v>1</v>
      </c>
    </row>
    <row r="41" spans="10:14" x14ac:dyDescent="0.25">
      <c r="J41" s="16">
        <f t="shared" ca="1" si="1"/>
        <v>10.509171361671021</v>
      </c>
      <c r="K41" s="16">
        <f t="shared" ca="1" si="2"/>
        <v>34.513983862394937</v>
      </c>
      <c r="L41" s="17">
        <f t="shared" si="3"/>
        <v>0.90476190476190477</v>
      </c>
      <c r="M41" s="16">
        <f t="shared" ca="1" si="6"/>
        <v>328.16924023301317</v>
      </c>
      <c r="N41" s="18">
        <f t="shared" ca="1" si="5"/>
        <v>1</v>
      </c>
    </row>
    <row r="42" spans="10:14" x14ac:dyDescent="0.25">
      <c r="J42" s="16">
        <f t="shared" ca="1" si="1"/>
        <v>9.2815170458269787</v>
      </c>
      <c r="K42" s="16">
        <f t="shared" ca="1" si="2"/>
        <v>31.255817987650641</v>
      </c>
      <c r="L42" s="17">
        <f t="shared" si="3"/>
        <v>0.90476190476190477</v>
      </c>
      <c r="M42" s="16">
        <f t="shared" ca="1" si="6"/>
        <v>262.47270196377394</v>
      </c>
      <c r="N42" s="18">
        <f t="shared" ca="1" si="5"/>
        <v>1</v>
      </c>
    </row>
    <row r="43" spans="10:14" x14ac:dyDescent="0.25">
      <c r="J43" s="16">
        <f t="shared" ca="1" si="1"/>
        <v>6.9697950158391322</v>
      </c>
      <c r="K43" s="16">
        <f t="shared" ca="1" si="2"/>
        <v>32.467678985825522</v>
      </c>
      <c r="L43" s="17">
        <f t="shared" si="3"/>
        <v>0.90476190476190477</v>
      </c>
      <c r="M43" s="16">
        <f t="shared" ca="1" si="6"/>
        <v>204.7413464882934</v>
      </c>
      <c r="N43" s="18">
        <f t="shared" ca="1" si="5"/>
        <v>0</v>
      </c>
    </row>
    <row r="44" spans="10:14" x14ac:dyDescent="0.25">
      <c r="J44" s="16">
        <f t="shared" ca="1" si="1"/>
        <v>10.149122036300188</v>
      </c>
      <c r="K44" s="16">
        <f t="shared" ca="1" si="2"/>
        <v>35.301581455740774</v>
      </c>
      <c r="L44" s="17">
        <f t="shared" si="3"/>
        <v>0.90476190476190477</v>
      </c>
      <c r="M44" s="16">
        <f t="shared" ca="1" si="6"/>
        <v>324.15814795739954</v>
      </c>
      <c r="N44" s="18">
        <f t="shared" ca="1" si="5"/>
        <v>1</v>
      </c>
    </row>
    <row r="45" spans="10:14" x14ac:dyDescent="0.25">
      <c r="J45" s="16">
        <f t="shared" ca="1" si="1"/>
        <v>9.1370298183651126</v>
      </c>
      <c r="K45" s="16">
        <f t="shared" ca="1" si="2"/>
        <v>29.579232078131238</v>
      </c>
      <c r="L45" s="17">
        <f t="shared" si="3"/>
        <v>0.90476190476190477</v>
      </c>
      <c r="M45" s="16">
        <f t="shared" ca="1" si="6"/>
        <v>244.52667545439581</v>
      </c>
      <c r="N45" s="18">
        <f t="shared" ca="1" si="5"/>
        <v>1</v>
      </c>
    </row>
    <row r="46" spans="10:14" x14ac:dyDescent="0.25">
      <c r="J46" s="16">
        <f t="shared" ca="1" si="1"/>
        <v>11.237633376718872</v>
      </c>
      <c r="K46" s="16">
        <f t="shared" ca="1" si="2"/>
        <v>30.645767107815896</v>
      </c>
      <c r="L46" s="17">
        <f t="shared" si="3"/>
        <v>0.90476190476190477</v>
      </c>
      <c r="M46" s="16">
        <f t="shared" ca="1" si="6"/>
        <v>311.58723861014096</v>
      </c>
      <c r="N46" s="18">
        <f t="shared" ca="1" si="5"/>
        <v>1</v>
      </c>
    </row>
    <row r="47" spans="10:14" x14ac:dyDescent="0.25">
      <c r="J47" s="16">
        <f t="shared" ca="1" si="1"/>
        <v>3.2272332653377496</v>
      </c>
      <c r="K47" s="16">
        <f t="shared" ca="1" si="2"/>
        <v>26.906263261368636</v>
      </c>
      <c r="L47" s="17">
        <f t="shared" si="3"/>
        <v>0.90476190476190477</v>
      </c>
      <c r="M47" s="16">
        <f t="shared" ca="1" si="6"/>
        <v>78.562998524640619</v>
      </c>
      <c r="N47" s="18">
        <f t="shared" ca="1" si="5"/>
        <v>0</v>
      </c>
    </row>
    <row r="48" spans="10:14" x14ac:dyDescent="0.25">
      <c r="J48" s="16">
        <f t="shared" ca="1" si="1"/>
        <v>9.3098154565803881</v>
      </c>
      <c r="K48" s="16">
        <f t="shared" ca="1" si="2"/>
        <v>38.847346540485418</v>
      </c>
      <c r="L48" s="17">
        <f t="shared" si="3"/>
        <v>0.90476190476190477</v>
      </c>
      <c r="M48" s="16">
        <f t="shared" ca="1" si="6"/>
        <v>327.21766276786525</v>
      </c>
      <c r="N48" s="18">
        <f t="shared" ca="1" si="5"/>
        <v>1</v>
      </c>
    </row>
    <row r="49" spans="10:14" x14ac:dyDescent="0.25">
      <c r="J49" s="16">
        <f t="shared" ca="1" si="1"/>
        <v>6.1545366039502856</v>
      </c>
      <c r="K49" s="16">
        <f t="shared" ca="1" si="2"/>
        <v>28.805379372380557</v>
      </c>
      <c r="L49" s="17">
        <f t="shared" si="3"/>
        <v>0.90476190476190477</v>
      </c>
      <c r="M49" s="16">
        <f t="shared" ca="1" si="6"/>
        <v>160.39959395342009</v>
      </c>
      <c r="N49" s="18">
        <f t="shared" ca="1" si="5"/>
        <v>0</v>
      </c>
    </row>
    <row r="50" spans="10:14" x14ac:dyDescent="0.25">
      <c r="J50" s="16">
        <f t="shared" ca="1" si="1"/>
        <v>10.090737940263852</v>
      </c>
      <c r="K50" s="16">
        <f t="shared" ca="1" si="2"/>
        <v>20.517382893158832</v>
      </c>
      <c r="L50" s="17">
        <f t="shared" si="3"/>
        <v>0.90476190476190477</v>
      </c>
      <c r="M50" s="16">
        <f t="shared" ca="1" si="6"/>
        <v>187.3178640906404</v>
      </c>
      <c r="N50" s="18">
        <f t="shared" ca="1" si="5"/>
        <v>0</v>
      </c>
    </row>
    <row r="51" spans="10:14" x14ac:dyDescent="0.25">
      <c r="J51" s="16">
        <f t="shared" ca="1" si="1"/>
        <v>9.3053258564737344</v>
      </c>
      <c r="K51" s="16">
        <f t="shared" ca="1" si="2"/>
        <v>42.584565328942752</v>
      </c>
      <c r="L51" s="17">
        <f t="shared" si="3"/>
        <v>0.90476190476190477</v>
      </c>
      <c r="M51" s="16">
        <f t="shared" ca="1" si="6"/>
        <v>358.52389904761964</v>
      </c>
      <c r="N51" s="18">
        <f t="shared" ca="1" si="5"/>
        <v>1</v>
      </c>
    </row>
    <row r="52" spans="10:14" x14ac:dyDescent="0.25">
      <c r="J52" s="16">
        <f t="shared" ca="1" si="1"/>
        <v>6.6683820469106285</v>
      </c>
      <c r="K52" s="16">
        <f t="shared" ca="1" si="2"/>
        <v>29.704855503660632</v>
      </c>
      <c r="L52" s="17">
        <f t="shared" si="3"/>
        <v>0.90476190476190477</v>
      </c>
      <c r="M52" s="16">
        <f t="shared" ca="1" si="6"/>
        <v>179.21824656128638</v>
      </c>
      <c r="N52" s="18">
        <f t="shared" ca="1" si="5"/>
        <v>0</v>
      </c>
    </row>
    <row r="53" spans="10:14" x14ac:dyDescent="0.25">
      <c r="J53" s="16">
        <f t="shared" ca="1" si="1"/>
        <v>10.392621886045569</v>
      </c>
      <c r="K53" s="16">
        <f t="shared" ca="1" si="2"/>
        <v>26.137494117891514</v>
      </c>
      <c r="L53" s="17">
        <f t="shared" si="3"/>
        <v>0.90476190476190477</v>
      </c>
      <c r="M53" s="16">
        <f t="shared" ca="1" si="6"/>
        <v>245.76689404303556</v>
      </c>
      <c r="N53" s="18">
        <f t="shared" ca="1" si="5"/>
        <v>1</v>
      </c>
    </row>
    <row r="54" spans="10:14" x14ac:dyDescent="0.25">
      <c r="J54" s="16">
        <f t="shared" ca="1" si="1"/>
        <v>11.107573990688612</v>
      </c>
      <c r="K54" s="16">
        <f t="shared" ca="1" si="2"/>
        <v>44.892363371344331</v>
      </c>
      <c r="L54" s="17">
        <f t="shared" si="3"/>
        <v>0.90476190476190477</v>
      </c>
      <c r="M54" s="16">
        <f t="shared" ca="1" si="6"/>
        <v>451.15522416750679</v>
      </c>
      <c r="N54" s="18">
        <f t="shared" ca="1" si="5"/>
        <v>1</v>
      </c>
    </row>
    <row r="55" spans="10:14" x14ac:dyDescent="0.25">
      <c r="J55" s="16">
        <f t="shared" ca="1" si="1"/>
        <v>8.9822745809623932</v>
      </c>
      <c r="K55" s="16">
        <f t="shared" ca="1" si="2"/>
        <v>35.498595456626688</v>
      </c>
      <c r="L55" s="17">
        <f t="shared" si="3"/>
        <v>0.90476190476190477</v>
      </c>
      <c r="M55" s="16">
        <f t="shared" ca="1" si="6"/>
        <v>288.49069052231312</v>
      </c>
      <c r="N55" s="18">
        <f t="shared" ca="1" si="5"/>
        <v>1</v>
      </c>
    </row>
    <row r="56" spans="10:14" x14ac:dyDescent="0.25">
      <c r="J56" s="16">
        <f t="shared" ca="1" si="1"/>
        <v>7.5708521794409958</v>
      </c>
      <c r="K56" s="16">
        <f t="shared" ca="1" si="2"/>
        <v>27.521952380271237</v>
      </c>
      <c r="L56" s="17">
        <f t="shared" si="3"/>
        <v>0.90476190476190477</v>
      </c>
      <c r="M56" s="16">
        <f t="shared" ca="1" si="6"/>
        <v>188.52038238344323</v>
      </c>
      <c r="N56" s="18">
        <f t="shared" ca="1" si="5"/>
        <v>0</v>
      </c>
    </row>
    <row r="57" spans="10:14" x14ac:dyDescent="0.25">
      <c r="J57" s="16">
        <f t="shared" ca="1" si="1"/>
        <v>6.0240490918299114</v>
      </c>
      <c r="K57" s="16">
        <f t="shared" ca="1" si="2"/>
        <v>44.44054684701625</v>
      </c>
      <c r="L57" s="17">
        <f t="shared" si="3"/>
        <v>0.90476190476190477</v>
      </c>
      <c r="M57" s="16">
        <f t="shared" ca="1" si="6"/>
        <v>242.2156515052221</v>
      </c>
      <c r="N57" s="18">
        <f t="shared" ca="1" si="5"/>
        <v>1</v>
      </c>
    </row>
    <row r="58" spans="10:14" x14ac:dyDescent="0.25">
      <c r="J58" s="16">
        <f t="shared" ca="1" si="1"/>
        <v>8.3634110014058614</v>
      </c>
      <c r="K58" s="16">
        <f t="shared" ca="1" si="2"/>
        <v>32.628432069239075</v>
      </c>
      <c r="L58" s="17">
        <f t="shared" si="3"/>
        <v>0.90476190476190477</v>
      </c>
      <c r="M58" s="16">
        <f t="shared" ca="1" si="6"/>
        <v>246.89594127635525</v>
      </c>
      <c r="N58" s="18">
        <f t="shared" ca="1" si="5"/>
        <v>1</v>
      </c>
    </row>
    <row r="59" spans="10:14" x14ac:dyDescent="0.25">
      <c r="J59" s="16">
        <f t="shared" ca="1" si="1"/>
        <v>3.7394491221902935</v>
      </c>
      <c r="K59" s="16">
        <f t="shared" ca="1" si="2"/>
        <v>24.318671049308843</v>
      </c>
      <c r="L59" s="17">
        <f t="shared" si="3"/>
        <v>0.90476190476190477</v>
      </c>
      <c r="M59" s="16">
        <f t="shared" ca="1" si="6"/>
        <v>82.277629955013182</v>
      </c>
      <c r="N59" s="18">
        <f t="shared" ca="1" si="5"/>
        <v>0</v>
      </c>
    </row>
    <row r="60" spans="10:14" x14ac:dyDescent="0.25">
      <c r="J60" s="16">
        <f t="shared" ca="1" si="1"/>
        <v>13.828933316785735</v>
      </c>
      <c r="K60" s="16">
        <f t="shared" ca="1" si="2"/>
        <v>44.538486909282838</v>
      </c>
      <c r="L60" s="17">
        <f t="shared" si="3"/>
        <v>0.90476190476190477</v>
      </c>
      <c r="M60" s="16">
        <f t="shared" ca="1" si="6"/>
        <v>557.26074021338707</v>
      </c>
      <c r="N60" s="18">
        <f t="shared" ca="1" si="5"/>
        <v>1</v>
      </c>
    </row>
    <row r="61" spans="10:14" x14ac:dyDescent="0.25">
      <c r="J61" s="16">
        <f t="shared" ca="1" si="1"/>
        <v>10.021621805107912</v>
      </c>
      <c r="K61" s="16">
        <f t="shared" ca="1" si="2"/>
        <v>28.953917371880287</v>
      </c>
      <c r="L61" s="17">
        <f t="shared" si="3"/>
        <v>0.90476190476190477</v>
      </c>
      <c r="M61" s="16">
        <f t="shared" ca="1" si="6"/>
        <v>262.53042780329702</v>
      </c>
      <c r="N61" s="18">
        <f t="shared" ca="1" si="5"/>
        <v>1</v>
      </c>
    </row>
    <row r="62" spans="10:14" x14ac:dyDescent="0.25">
      <c r="J62" s="16">
        <f t="shared" ca="1" si="1"/>
        <v>10.954832718947298</v>
      </c>
      <c r="K62" s="16">
        <f t="shared" ca="1" si="2"/>
        <v>27.275175225142</v>
      </c>
      <c r="L62" s="17">
        <f t="shared" si="3"/>
        <v>0.90476190476190477</v>
      </c>
      <c r="M62" s="16">
        <f t="shared" ca="1" si="6"/>
        <v>270.33831702174854</v>
      </c>
      <c r="N62" s="18">
        <f t="shared" ca="1" si="5"/>
        <v>1</v>
      </c>
    </row>
    <row r="63" spans="10:14" x14ac:dyDescent="0.25">
      <c r="J63" s="16">
        <f t="shared" ca="1" si="1"/>
        <v>13.568314537032004</v>
      </c>
      <c r="K63" s="16">
        <f t="shared" ca="1" si="2"/>
        <v>41.35726697033548</v>
      </c>
      <c r="L63" s="17">
        <f t="shared" si="3"/>
        <v>0.90476190476190477</v>
      </c>
      <c r="M63" s="16">
        <f t="shared" ca="1" si="6"/>
        <v>507.70570125070532</v>
      </c>
      <c r="N63" s="18">
        <f t="shared" ca="1" si="5"/>
        <v>1</v>
      </c>
    </row>
    <row r="64" spans="10:14" x14ac:dyDescent="0.25">
      <c r="J64" s="16">
        <f t="shared" ca="1" si="1"/>
        <v>3.4883978740459076</v>
      </c>
      <c r="K64" s="16">
        <f t="shared" ca="1" si="2"/>
        <v>24.648178782812625</v>
      </c>
      <c r="L64" s="17">
        <f t="shared" si="3"/>
        <v>0.90476190476190477</v>
      </c>
      <c r="M64" s="16">
        <f t="shared" ca="1" si="6"/>
        <v>77.793830230298724</v>
      </c>
      <c r="N64" s="18">
        <f t="shared" ca="1" si="5"/>
        <v>0</v>
      </c>
    </row>
    <row r="65" spans="10:14" x14ac:dyDescent="0.25">
      <c r="J65" s="16">
        <f t="shared" ca="1" si="1"/>
        <v>5.7750567882549646</v>
      </c>
      <c r="K65" s="16">
        <f t="shared" ca="1" si="2"/>
        <v>45.419628897754706</v>
      </c>
      <c r="L65" s="17">
        <f t="shared" si="3"/>
        <v>0.90476190476190477</v>
      </c>
      <c r="M65" s="16">
        <f t="shared" ca="1" si="6"/>
        <v>237.31989464447588</v>
      </c>
      <c r="N65" s="18">
        <f t="shared" ca="1" si="5"/>
        <v>0</v>
      </c>
    </row>
    <row r="66" spans="10:14" x14ac:dyDescent="0.25">
      <c r="J66" s="16">
        <f t="shared" ca="1" si="1"/>
        <v>4.1457996681840621</v>
      </c>
      <c r="K66" s="16">
        <f t="shared" ca="1" si="2"/>
        <v>30.879869282988789</v>
      </c>
      <c r="L66" s="17">
        <f t="shared" si="3"/>
        <v>0.90476190476190477</v>
      </c>
      <c r="M66" s="16">
        <f t="shared" ca="1" si="6"/>
        <v>115.82920403393621</v>
      </c>
      <c r="N66" s="18">
        <f t="shared" ca="1" si="5"/>
        <v>0</v>
      </c>
    </row>
    <row r="67" spans="10:14" x14ac:dyDescent="0.25">
      <c r="J67" s="16">
        <f t="shared" ca="1" si="1"/>
        <v>7.9422381079191426</v>
      </c>
      <c r="K67" s="16">
        <f t="shared" ca="1" si="2"/>
        <v>32.084129461620414</v>
      </c>
      <c r="L67" s="17">
        <f t="shared" si="3"/>
        <v>0.90476190476190477</v>
      </c>
      <c r="M67" s="16">
        <f t="shared" ca="1" si="6"/>
        <v>230.55124370096982</v>
      </c>
      <c r="N67" s="18">
        <f t="shared" ca="1" si="5"/>
        <v>0</v>
      </c>
    </row>
    <row r="68" spans="10:14" x14ac:dyDescent="0.25">
      <c r="J68" s="16">
        <f t="shared" ref="J68:J131" ca="1" si="7">$D$2*(-LN(1-RAND()))^(1/$D$3)</f>
        <v>7.7361386326060888</v>
      </c>
      <c r="K68" s="16">
        <f t="shared" ref="K68:K131" ca="1" si="8">RAND()*($H$3-$H$2)+$H$2</f>
        <v>25.020392698311092</v>
      </c>
      <c r="L68" s="17">
        <f t="shared" ref="L68:L131" si="9">$D$22</f>
        <v>0.90476190476190477</v>
      </c>
      <c r="M68" s="16">
        <f t="shared" ca="1" si="6"/>
        <v>175.12682402720074</v>
      </c>
      <c r="N68" s="18">
        <f t="shared" ref="N68:N131" ca="1" si="10">IF(M68&gt;$R$2,1,0)</f>
        <v>0</v>
      </c>
    </row>
    <row r="69" spans="10:14" x14ac:dyDescent="0.25">
      <c r="J69" s="16">
        <f t="shared" ca="1" si="7"/>
        <v>10.760795500297307</v>
      </c>
      <c r="K69" s="16">
        <f t="shared" ca="1" si="8"/>
        <v>37.603373470428593</v>
      </c>
      <c r="L69" s="17">
        <f t="shared" si="9"/>
        <v>0.90476190476190477</v>
      </c>
      <c r="M69" s="16">
        <f t="shared" ca="1" si="6"/>
        <v>366.10485850929319</v>
      </c>
      <c r="N69" s="18">
        <f t="shared" ca="1" si="10"/>
        <v>1</v>
      </c>
    </row>
    <row r="70" spans="10:14" x14ac:dyDescent="0.25">
      <c r="J70" s="16">
        <f t="shared" ca="1" si="7"/>
        <v>4.6250129417514509</v>
      </c>
      <c r="K70" s="16">
        <f t="shared" ca="1" si="8"/>
        <v>42.367012023047572</v>
      </c>
      <c r="L70" s="17">
        <f t="shared" si="9"/>
        <v>0.90476190476190477</v>
      </c>
      <c r="M70" s="16">
        <f t="shared" ca="1" si="6"/>
        <v>177.28626663279772</v>
      </c>
      <c r="N70" s="18">
        <f t="shared" ca="1" si="10"/>
        <v>0</v>
      </c>
    </row>
    <row r="71" spans="10:14" x14ac:dyDescent="0.25">
      <c r="J71" s="16">
        <f t="shared" ca="1" si="7"/>
        <v>3.8307284612007244</v>
      </c>
      <c r="K71" s="16">
        <f t="shared" ca="1" si="8"/>
        <v>38.042791534960742</v>
      </c>
      <c r="L71" s="17">
        <f t="shared" si="9"/>
        <v>0.90476190476190477</v>
      </c>
      <c r="M71" s="16">
        <f t="shared" ca="1" si="6"/>
        <v>131.85240386921438</v>
      </c>
      <c r="N71" s="18">
        <f t="shared" ca="1" si="10"/>
        <v>0</v>
      </c>
    </row>
    <row r="72" spans="10:14" x14ac:dyDescent="0.25">
      <c r="J72" s="16">
        <f t="shared" ca="1" si="7"/>
        <v>6.9005399054514021</v>
      </c>
      <c r="K72" s="16">
        <f t="shared" ca="1" si="8"/>
        <v>22.546659093252629</v>
      </c>
      <c r="L72" s="17">
        <f t="shared" si="9"/>
        <v>0.90476190476190477</v>
      </c>
      <c r="M72" s="16">
        <f t="shared" ca="1" si="6"/>
        <v>140.76658549258912</v>
      </c>
      <c r="N72" s="18">
        <f t="shared" ca="1" si="10"/>
        <v>0</v>
      </c>
    </row>
    <row r="73" spans="10:14" x14ac:dyDescent="0.25">
      <c r="J73" s="16">
        <f t="shared" ca="1" si="7"/>
        <v>5.2679533055706607</v>
      </c>
      <c r="K73" s="16">
        <f t="shared" ca="1" si="8"/>
        <v>24.221341997944062</v>
      </c>
      <c r="L73" s="17">
        <f t="shared" si="9"/>
        <v>0.90476190476190477</v>
      </c>
      <c r="M73" s="16">
        <f t="shared" ca="1" si="6"/>
        <v>115.44481305833862</v>
      </c>
      <c r="N73" s="18">
        <f t="shared" ca="1" si="10"/>
        <v>0</v>
      </c>
    </row>
    <row r="74" spans="10:14" x14ac:dyDescent="0.25">
      <c r="J74" s="16">
        <f t="shared" ca="1" si="7"/>
        <v>7.3701267055953084</v>
      </c>
      <c r="K74" s="16">
        <f t="shared" ca="1" si="8"/>
        <v>26.107246070686234</v>
      </c>
      <c r="L74" s="17">
        <f t="shared" si="9"/>
        <v>0.90476190476190477</v>
      </c>
      <c r="M74" s="16">
        <f t="shared" ca="1" si="6"/>
        <v>174.08859609653061</v>
      </c>
      <c r="N74" s="18">
        <f t="shared" ca="1" si="10"/>
        <v>0</v>
      </c>
    </row>
    <row r="75" spans="10:14" x14ac:dyDescent="0.25">
      <c r="J75" s="16">
        <f t="shared" ca="1" si="7"/>
        <v>9.4333650817874464</v>
      </c>
      <c r="K75" s="16">
        <f t="shared" ca="1" si="8"/>
        <v>36.639695270875613</v>
      </c>
      <c r="L75" s="17">
        <f t="shared" si="9"/>
        <v>0.90476190476190477</v>
      </c>
      <c r="M75" s="16">
        <f t="shared" ca="1" si="6"/>
        <v>312.71794369221919</v>
      </c>
      <c r="N75" s="18">
        <f t="shared" ca="1" si="10"/>
        <v>1</v>
      </c>
    </row>
    <row r="76" spans="10:14" x14ac:dyDescent="0.25">
      <c r="J76" s="16">
        <f t="shared" ca="1" si="7"/>
        <v>10.67854619868576</v>
      </c>
      <c r="K76" s="16">
        <f t="shared" ca="1" si="8"/>
        <v>31.29116336287154</v>
      </c>
      <c r="L76" s="17">
        <f t="shared" si="9"/>
        <v>0.90476190476190477</v>
      </c>
      <c r="M76" s="16">
        <f t="shared" ca="1" si="6"/>
        <v>302.32088276380443</v>
      </c>
      <c r="N76" s="18">
        <f t="shared" ca="1" si="10"/>
        <v>1</v>
      </c>
    </row>
    <row r="77" spans="10:14" x14ac:dyDescent="0.25">
      <c r="J77" s="16">
        <f t="shared" ca="1" si="7"/>
        <v>4.9270934582156762</v>
      </c>
      <c r="K77" s="16">
        <f t="shared" ca="1" si="8"/>
        <v>33.151484226730304</v>
      </c>
      <c r="L77" s="17">
        <f t="shared" si="9"/>
        <v>0.90476190476190477</v>
      </c>
      <c r="M77" s="16">
        <f t="shared" ca="1" si="6"/>
        <v>147.78422667664751</v>
      </c>
      <c r="N77" s="18">
        <f t="shared" ca="1" si="10"/>
        <v>0</v>
      </c>
    </row>
    <row r="78" spans="10:14" x14ac:dyDescent="0.25">
      <c r="J78" s="16">
        <f t="shared" ca="1" si="7"/>
        <v>15.410530179829244</v>
      </c>
      <c r="K78" s="16">
        <f t="shared" ca="1" si="8"/>
        <v>32.517812515607048</v>
      </c>
      <c r="L78" s="17">
        <f t="shared" si="9"/>
        <v>0.90476190476190477</v>
      </c>
      <c r="M78" s="16">
        <f t="shared" ca="1" si="6"/>
        <v>453.39132818676376</v>
      </c>
      <c r="N78" s="18">
        <f t="shared" ca="1" si="10"/>
        <v>1</v>
      </c>
    </row>
    <row r="79" spans="10:14" x14ac:dyDescent="0.25">
      <c r="J79" s="16">
        <f t="shared" ca="1" si="7"/>
        <v>11.2229118347646</v>
      </c>
      <c r="K79" s="16">
        <f t="shared" ca="1" si="8"/>
        <v>39.172748925366442</v>
      </c>
      <c r="L79" s="17">
        <f t="shared" si="9"/>
        <v>0.90476190476190477</v>
      </c>
      <c r="M79" s="16">
        <f t="shared" ca="1" si="6"/>
        <v>397.7625639419233</v>
      </c>
      <c r="N79" s="18">
        <f t="shared" ca="1" si="10"/>
        <v>1</v>
      </c>
    </row>
    <row r="80" spans="10:14" x14ac:dyDescent="0.25">
      <c r="J80" s="16">
        <f t="shared" ca="1" si="7"/>
        <v>11.214238959425662</v>
      </c>
      <c r="K80" s="16">
        <f t="shared" ca="1" si="8"/>
        <v>45.644918347921887</v>
      </c>
      <c r="L80" s="17">
        <f t="shared" si="9"/>
        <v>0.90476190476190477</v>
      </c>
      <c r="M80" s="16">
        <f t="shared" ca="1" si="6"/>
        <v>463.1232100525861</v>
      </c>
      <c r="N80" s="18">
        <f t="shared" ca="1" si="10"/>
        <v>1</v>
      </c>
    </row>
    <row r="81" spans="10:14" x14ac:dyDescent="0.25">
      <c r="J81" s="16">
        <f t="shared" ca="1" si="7"/>
        <v>6.742391439880894</v>
      </c>
      <c r="K81" s="16">
        <f t="shared" ca="1" si="8"/>
        <v>34.272745155459845</v>
      </c>
      <c r="L81" s="17">
        <f t="shared" si="9"/>
        <v>0.90476190476190477</v>
      </c>
      <c r="M81" s="16">
        <f t="shared" ca="1" si="6"/>
        <v>209.07261940906881</v>
      </c>
      <c r="N81" s="18">
        <f t="shared" ca="1" si="10"/>
        <v>0</v>
      </c>
    </row>
    <row r="82" spans="10:14" x14ac:dyDescent="0.25">
      <c r="J82" s="16">
        <f t="shared" ca="1" si="7"/>
        <v>11.273656485116623</v>
      </c>
      <c r="K82" s="16">
        <f t="shared" ca="1" si="8"/>
        <v>29.624799260430535</v>
      </c>
      <c r="L82" s="17">
        <f t="shared" si="9"/>
        <v>0.90476190476190477</v>
      </c>
      <c r="M82" s="16">
        <f t="shared" ca="1" si="6"/>
        <v>302.17220932142789</v>
      </c>
      <c r="N82" s="18">
        <f t="shared" ca="1" si="10"/>
        <v>1</v>
      </c>
    </row>
    <row r="83" spans="10:14" x14ac:dyDescent="0.25">
      <c r="J83" s="16">
        <f t="shared" ca="1" si="7"/>
        <v>10.647147519465298</v>
      </c>
      <c r="K83" s="16">
        <f t="shared" ca="1" si="8"/>
        <v>34.483531770771755</v>
      </c>
      <c r="L83" s="17">
        <f t="shared" si="9"/>
        <v>0.90476190476190477</v>
      </c>
      <c r="M83" s="16">
        <f t="shared" ref="M83:M146" ca="1" si="11">J83*K83*L83</f>
        <v>332.18446406456815</v>
      </c>
      <c r="N83" s="18">
        <f t="shared" ca="1" si="10"/>
        <v>1</v>
      </c>
    </row>
    <row r="84" spans="10:14" x14ac:dyDescent="0.25">
      <c r="J84" s="16">
        <f t="shared" ca="1" si="7"/>
        <v>6.8257654891351569</v>
      </c>
      <c r="K84" s="16">
        <f t="shared" ca="1" si="8"/>
        <v>40.123478490910941</v>
      </c>
      <c r="L84" s="17">
        <f t="shared" si="9"/>
        <v>0.90476190476190477</v>
      </c>
      <c r="M84" s="16">
        <f t="shared" ca="1" si="11"/>
        <v>247.79026861709605</v>
      </c>
      <c r="N84" s="18">
        <f t="shared" ca="1" si="10"/>
        <v>1</v>
      </c>
    </row>
    <row r="85" spans="10:14" x14ac:dyDescent="0.25">
      <c r="J85" s="16">
        <f t="shared" ca="1" si="7"/>
        <v>7.2295726696101044</v>
      </c>
      <c r="K85" s="16">
        <f t="shared" ca="1" si="8"/>
        <v>37.743825355972028</v>
      </c>
      <c r="L85" s="17">
        <f t="shared" si="9"/>
        <v>0.90476190476190477</v>
      </c>
      <c r="M85" s="16">
        <f t="shared" ca="1" si="11"/>
        <v>246.88394459816058</v>
      </c>
      <c r="N85" s="18">
        <f t="shared" ca="1" si="10"/>
        <v>1</v>
      </c>
    </row>
    <row r="86" spans="10:14" x14ac:dyDescent="0.25">
      <c r="J86" s="16">
        <f t="shared" ca="1" si="7"/>
        <v>5.1417559832664415</v>
      </c>
      <c r="K86" s="16">
        <f t="shared" ca="1" si="8"/>
        <v>42.991952637988042</v>
      </c>
      <c r="L86" s="17">
        <f t="shared" si="9"/>
        <v>0.90476190476190477</v>
      </c>
      <c r="M86" s="16">
        <f t="shared" ca="1" si="11"/>
        <v>200.00135545071274</v>
      </c>
      <c r="N86" s="18">
        <f t="shared" ca="1" si="10"/>
        <v>0</v>
      </c>
    </row>
    <row r="87" spans="10:14" x14ac:dyDescent="0.25">
      <c r="J87" s="16">
        <f t="shared" ca="1" si="7"/>
        <v>6.3085428515939403</v>
      </c>
      <c r="K87" s="16">
        <f t="shared" ca="1" si="8"/>
        <v>33.329608289662744</v>
      </c>
      <c r="L87" s="17">
        <f t="shared" si="9"/>
        <v>0.90476190476190477</v>
      </c>
      <c r="M87" s="16">
        <f t="shared" ca="1" si="11"/>
        <v>190.23638001530395</v>
      </c>
      <c r="N87" s="18">
        <f t="shared" ca="1" si="10"/>
        <v>0</v>
      </c>
    </row>
    <row r="88" spans="10:14" x14ac:dyDescent="0.25">
      <c r="J88" s="16">
        <f t="shared" ca="1" si="7"/>
        <v>6.0893518694270075</v>
      </c>
      <c r="K88" s="16">
        <f t="shared" ca="1" si="8"/>
        <v>21.324676722844352</v>
      </c>
      <c r="L88" s="17">
        <f t="shared" si="9"/>
        <v>0.90476190476190477</v>
      </c>
      <c r="M88" s="16">
        <f t="shared" ca="1" si="11"/>
        <v>117.48646387030468</v>
      </c>
      <c r="N88" s="18">
        <f t="shared" ca="1" si="10"/>
        <v>0</v>
      </c>
    </row>
    <row r="89" spans="10:14" x14ac:dyDescent="0.25">
      <c r="J89" s="16">
        <f t="shared" ca="1" si="7"/>
        <v>5.3605509698185312</v>
      </c>
      <c r="K89" s="16">
        <f t="shared" ca="1" si="8"/>
        <v>31.39545996815535</v>
      </c>
      <c r="L89" s="17">
        <f t="shared" si="9"/>
        <v>0.90476190476190477</v>
      </c>
      <c r="M89" s="16">
        <f t="shared" ca="1" si="11"/>
        <v>152.26868115350888</v>
      </c>
      <c r="N89" s="18">
        <f t="shared" ca="1" si="10"/>
        <v>0</v>
      </c>
    </row>
    <row r="90" spans="10:14" x14ac:dyDescent="0.25">
      <c r="J90" s="16">
        <f t="shared" ca="1" si="7"/>
        <v>6.4346821716245781</v>
      </c>
      <c r="K90" s="16">
        <f t="shared" ca="1" si="8"/>
        <v>25.373701189210117</v>
      </c>
      <c r="L90" s="17">
        <f t="shared" si="9"/>
        <v>0.90476190476190477</v>
      </c>
      <c r="M90" s="16">
        <f t="shared" ca="1" si="11"/>
        <v>147.72201670173592</v>
      </c>
      <c r="N90" s="18">
        <f t="shared" ca="1" si="10"/>
        <v>0</v>
      </c>
    </row>
    <row r="91" spans="10:14" x14ac:dyDescent="0.25">
      <c r="J91" s="16">
        <f t="shared" ca="1" si="7"/>
        <v>5.6772548598480395</v>
      </c>
      <c r="K91" s="16">
        <f t="shared" ca="1" si="8"/>
        <v>33.788611130342346</v>
      </c>
      <c r="L91" s="17">
        <f t="shared" si="9"/>
        <v>0.90476190476190477</v>
      </c>
      <c r="M91" s="16">
        <f t="shared" ca="1" si="11"/>
        <v>173.557360866561</v>
      </c>
      <c r="N91" s="18">
        <f t="shared" ca="1" si="10"/>
        <v>0</v>
      </c>
    </row>
    <row r="92" spans="10:14" x14ac:dyDescent="0.25">
      <c r="J92" s="16">
        <f t="shared" ca="1" si="7"/>
        <v>10.109406611530597</v>
      </c>
      <c r="K92" s="16">
        <f t="shared" ca="1" si="8"/>
        <v>31.317411380792954</v>
      </c>
      <c r="L92" s="17">
        <f t="shared" si="9"/>
        <v>0.90476190476190477</v>
      </c>
      <c r="M92" s="16">
        <f t="shared" ca="1" si="11"/>
        <v>286.44802227196311</v>
      </c>
      <c r="N92" s="18">
        <f t="shared" ca="1" si="10"/>
        <v>1</v>
      </c>
    </row>
    <row r="93" spans="10:14" x14ac:dyDescent="0.25">
      <c r="J93" s="16">
        <f t="shared" ca="1" si="7"/>
        <v>7.3259127947384917</v>
      </c>
      <c r="K93" s="16">
        <f t="shared" ca="1" si="8"/>
        <v>24.410930835589959</v>
      </c>
      <c r="L93" s="17">
        <f t="shared" si="9"/>
        <v>0.90476190476190477</v>
      </c>
      <c r="M93" s="16">
        <f t="shared" ca="1" si="11"/>
        <v>161.80069810755106</v>
      </c>
      <c r="N93" s="18">
        <f t="shared" ca="1" si="10"/>
        <v>0</v>
      </c>
    </row>
    <row r="94" spans="10:14" x14ac:dyDescent="0.25">
      <c r="J94" s="16">
        <f t="shared" ca="1" si="7"/>
        <v>9.4186743452559512</v>
      </c>
      <c r="K94" s="16">
        <f t="shared" ca="1" si="8"/>
        <v>23.908356300644101</v>
      </c>
      <c r="L94" s="17">
        <f t="shared" si="9"/>
        <v>0.90476190476190477</v>
      </c>
      <c r="M94" s="16">
        <f t="shared" ca="1" si="11"/>
        <v>203.73882954267555</v>
      </c>
      <c r="N94" s="18">
        <f t="shared" ca="1" si="10"/>
        <v>0</v>
      </c>
    </row>
    <row r="95" spans="10:14" x14ac:dyDescent="0.25">
      <c r="J95" s="16">
        <f t="shared" ca="1" si="7"/>
        <v>10.471271606468992</v>
      </c>
      <c r="K95" s="16">
        <f t="shared" ca="1" si="8"/>
        <v>22.225027230148804</v>
      </c>
      <c r="L95" s="17">
        <f t="shared" si="9"/>
        <v>0.90476190476190477</v>
      </c>
      <c r="M95" s="16">
        <f t="shared" ca="1" si="11"/>
        <v>210.56007786538524</v>
      </c>
      <c r="N95" s="18">
        <f t="shared" ca="1" si="10"/>
        <v>0</v>
      </c>
    </row>
    <row r="96" spans="10:14" x14ac:dyDescent="0.25">
      <c r="J96" s="16">
        <f t="shared" ca="1" si="7"/>
        <v>4.3528977368221806</v>
      </c>
      <c r="K96" s="16">
        <f t="shared" ca="1" si="8"/>
        <v>24.100803515194151</v>
      </c>
      <c r="L96" s="17">
        <f t="shared" si="9"/>
        <v>0.90476190476190477</v>
      </c>
      <c r="M96" s="16">
        <f t="shared" ca="1" si="11"/>
        <v>94.917063260038518</v>
      </c>
      <c r="N96" s="18">
        <f t="shared" ca="1" si="10"/>
        <v>0</v>
      </c>
    </row>
    <row r="97" spans="10:14" x14ac:dyDescent="0.25">
      <c r="J97" s="16">
        <f t="shared" ca="1" si="7"/>
        <v>5.4885720795716919</v>
      </c>
      <c r="K97" s="16">
        <f t="shared" ca="1" si="8"/>
        <v>23.231178386927965</v>
      </c>
      <c r="L97" s="17">
        <f t="shared" si="9"/>
        <v>0.90476190476190477</v>
      </c>
      <c r="M97" s="16">
        <f t="shared" ca="1" si="11"/>
        <v>115.3625687776572</v>
      </c>
      <c r="N97" s="18">
        <f t="shared" ca="1" si="10"/>
        <v>0</v>
      </c>
    </row>
    <row r="98" spans="10:14" x14ac:dyDescent="0.25">
      <c r="J98" s="16">
        <f t="shared" ca="1" si="7"/>
        <v>7.9886916596641893</v>
      </c>
      <c r="K98" s="16">
        <f t="shared" ca="1" si="8"/>
        <v>33.969089164013269</v>
      </c>
      <c r="L98" s="17">
        <f t="shared" si="9"/>
        <v>0.90476190476190477</v>
      </c>
      <c r="M98" s="16">
        <f t="shared" ca="1" si="11"/>
        <v>245.52395269180462</v>
      </c>
      <c r="N98" s="18">
        <f t="shared" ca="1" si="10"/>
        <v>1</v>
      </c>
    </row>
    <row r="99" spans="10:14" x14ac:dyDescent="0.25">
      <c r="J99" s="16">
        <f t="shared" ca="1" si="7"/>
        <v>6.1427681774306091</v>
      </c>
      <c r="K99" s="16">
        <f t="shared" ca="1" si="8"/>
        <v>31.027918325499527</v>
      </c>
      <c r="L99" s="17">
        <f t="shared" si="9"/>
        <v>0.90476190476190477</v>
      </c>
      <c r="M99" s="16">
        <f t="shared" ca="1" si="11"/>
        <v>172.44518460638551</v>
      </c>
      <c r="N99" s="18">
        <f t="shared" ca="1" si="10"/>
        <v>0</v>
      </c>
    </row>
    <row r="100" spans="10:14" x14ac:dyDescent="0.25">
      <c r="J100" s="16">
        <f t="shared" ca="1" si="7"/>
        <v>5.7007065968948005</v>
      </c>
      <c r="K100" s="16">
        <f t="shared" ca="1" si="8"/>
        <v>30.853535837652949</v>
      </c>
      <c r="L100" s="17">
        <f t="shared" si="9"/>
        <v>0.90476190476190477</v>
      </c>
      <c r="M100" s="16">
        <f t="shared" ca="1" si="11"/>
        <v>159.13581668845373</v>
      </c>
      <c r="N100" s="18">
        <f t="shared" ca="1" si="10"/>
        <v>0</v>
      </c>
    </row>
    <row r="101" spans="10:14" x14ac:dyDescent="0.25">
      <c r="J101" s="16">
        <f t="shared" ca="1" si="7"/>
        <v>4.5050775560071727</v>
      </c>
      <c r="K101" s="16">
        <f t="shared" ca="1" si="8"/>
        <v>28.443325404271761</v>
      </c>
      <c r="L101" s="17">
        <f t="shared" si="9"/>
        <v>0.90476190476190477</v>
      </c>
      <c r="M101" s="16">
        <f t="shared" ca="1" si="11"/>
        <v>115.93563576394637</v>
      </c>
      <c r="N101" s="18">
        <f t="shared" ca="1" si="10"/>
        <v>0</v>
      </c>
    </row>
    <row r="102" spans="10:14" x14ac:dyDescent="0.25">
      <c r="J102" s="16">
        <f t="shared" ca="1" si="7"/>
        <v>9.0670172590337099</v>
      </c>
      <c r="K102" s="16">
        <f t="shared" ca="1" si="8"/>
        <v>38.750850068329619</v>
      </c>
      <c r="L102" s="17">
        <f t="shared" si="9"/>
        <v>0.90476190476190477</v>
      </c>
      <c r="M102" s="16">
        <f t="shared" ca="1" si="11"/>
        <v>317.89228100303205</v>
      </c>
      <c r="N102" s="18">
        <f t="shared" ca="1" si="10"/>
        <v>1</v>
      </c>
    </row>
    <row r="103" spans="10:14" x14ac:dyDescent="0.25">
      <c r="J103" s="16">
        <f t="shared" ca="1" si="7"/>
        <v>6.9940978432359309</v>
      </c>
      <c r="K103" s="16">
        <f t="shared" ca="1" si="8"/>
        <v>22.962728217138743</v>
      </c>
      <c r="L103" s="17">
        <f t="shared" si="9"/>
        <v>0.90476190476190477</v>
      </c>
      <c r="M103" s="16">
        <f t="shared" ca="1" si="11"/>
        <v>145.30799000322648</v>
      </c>
      <c r="N103" s="18">
        <f t="shared" ca="1" si="10"/>
        <v>0</v>
      </c>
    </row>
    <row r="104" spans="10:14" x14ac:dyDescent="0.25">
      <c r="J104" s="16">
        <f t="shared" ca="1" si="7"/>
        <v>2.8913478270451427</v>
      </c>
      <c r="K104" s="16">
        <f t="shared" ca="1" si="8"/>
        <v>20.73642663838352</v>
      </c>
      <c r="L104" s="17">
        <f t="shared" si="9"/>
        <v>0.90476190476190477</v>
      </c>
      <c r="M104" s="16">
        <f t="shared" ca="1" si="11"/>
        <v>54.246105710945379</v>
      </c>
      <c r="N104" s="18">
        <f t="shared" ca="1" si="10"/>
        <v>0</v>
      </c>
    </row>
    <row r="105" spans="10:14" x14ac:dyDescent="0.25">
      <c r="J105" s="16">
        <f t="shared" ca="1" si="7"/>
        <v>9.4597497948865445</v>
      </c>
      <c r="K105" s="16">
        <f t="shared" ca="1" si="8"/>
        <v>36.201660365021844</v>
      </c>
      <c r="L105" s="17">
        <f t="shared" si="9"/>
        <v>0.90476190476190477</v>
      </c>
      <c r="M105" s="16">
        <f t="shared" ca="1" si="11"/>
        <v>309.84353976375178</v>
      </c>
      <c r="N105" s="18">
        <f t="shared" ca="1" si="10"/>
        <v>1</v>
      </c>
    </row>
    <row r="106" spans="10:14" x14ac:dyDescent="0.25">
      <c r="J106" s="16">
        <f t="shared" ca="1" si="7"/>
        <v>9.719504386475144</v>
      </c>
      <c r="K106" s="16">
        <f t="shared" ca="1" si="8"/>
        <v>41.918489675918956</v>
      </c>
      <c r="L106" s="17">
        <f t="shared" si="9"/>
        <v>0.90476190476190477</v>
      </c>
      <c r="M106" s="16">
        <f t="shared" ca="1" si="11"/>
        <v>368.62437815764946</v>
      </c>
      <c r="N106" s="18">
        <f t="shared" ca="1" si="10"/>
        <v>1</v>
      </c>
    </row>
    <row r="107" spans="10:14" x14ac:dyDescent="0.25">
      <c r="J107" s="16">
        <f t="shared" ca="1" si="7"/>
        <v>10.570449005102423</v>
      </c>
      <c r="K107" s="16">
        <f t="shared" ca="1" si="8"/>
        <v>44.520724537685922</v>
      </c>
      <c r="L107" s="17">
        <f t="shared" si="9"/>
        <v>0.90476190476190477</v>
      </c>
      <c r="M107" s="16">
        <f t="shared" ca="1" si="11"/>
        <v>425.7846152152668</v>
      </c>
      <c r="N107" s="18">
        <f t="shared" ca="1" si="10"/>
        <v>1</v>
      </c>
    </row>
    <row r="108" spans="10:14" x14ac:dyDescent="0.25">
      <c r="J108" s="16">
        <f t="shared" ca="1" si="7"/>
        <v>9.204947214124271</v>
      </c>
      <c r="K108" s="16">
        <f t="shared" ca="1" si="8"/>
        <v>38.031475548366686</v>
      </c>
      <c r="L108" s="17">
        <f t="shared" si="9"/>
        <v>0.90476190476190477</v>
      </c>
      <c r="M108" s="16">
        <f t="shared" ca="1" si="11"/>
        <v>316.73698919340438</v>
      </c>
      <c r="N108" s="18">
        <f t="shared" ca="1" si="10"/>
        <v>1</v>
      </c>
    </row>
    <row r="109" spans="10:14" x14ac:dyDescent="0.25">
      <c r="J109" s="16">
        <f t="shared" ca="1" si="7"/>
        <v>9.6567150770055736</v>
      </c>
      <c r="K109" s="16">
        <f t="shared" ca="1" si="8"/>
        <v>29.191391963041873</v>
      </c>
      <c r="L109" s="17">
        <f t="shared" si="9"/>
        <v>0.90476190476190477</v>
      </c>
      <c r="M109" s="16">
        <f t="shared" ca="1" si="11"/>
        <v>255.04600680368713</v>
      </c>
      <c r="N109" s="18">
        <f t="shared" ca="1" si="10"/>
        <v>1</v>
      </c>
    </row>
    <row r="110" spans="10:14" x14ac:dyDescent="0.25">
      <c r="J110" s="16">
        <f t="shared" ca="1" si="7"/>
        <v>6.3943838327316245</v>
      </c>
      <c r="K110" s="16">
        <f t="shared" ca="1" si="8"/>
        <v>34.904697998295674</v>
      </c>
      <c r="L110" s="17">
        <f t="shared" si="9"/>
        <v>0.90476190476190477</v>
      </c>
      <c r="M110" s="16">
        <f t="shared" ca="1" si="11"/>
        <v>201.93746165556919</v>
      </c>
      <c r="N110" s="18">
        <f t="shared" ca="1" si="10"/>
        <v>0</v>
      </c>
    </row>
    <row r="111" spans="10:14" x14ac:dyDescent="0.25">
      <c r="J111" s="16">
        <f t="shared" ca="1" si="7"/>
        <v>8.1109602918344521</v>
      </c>
      <c r="K111" s="16">
        <f t="shared" ca="1" si="8"/>
        <v>34.138315724751379</v>
      </c>
      <c r="L111" s="17">
        <f t="shared" si="9"/>
        <v>0.90476190476190477</v>
      </c>
      <c r="M111" s="16">
        <f t="shared" ca="1" si="11"/>
        <v>250.52361629513123</v>
      </c>
      <c r="N111" s="18">
        <f t="shared" ca="1" si="10"/>
        <v>1</v>
      </c>
    </row>
    <row r="112" spans="10:14" x14ac:dyDescent="0.25">
      <c r="J112" s="16">
        <f t="shared" ca="1" si="7"/>
        <v>5.9399949622175923</v>
      </c>
      <c r="K112" s="16">
        <f t="shared" ca="1" si="8"/>
        <v>23.787339662595365</v>
      </c>
      <c r="L112" s="17">
        <f t="shared" si="9"/>
        <v>0.90476190476190477</v>
      </c>
      <c r="M112" s="16">
        <f t="shared" ca="1" si="11"/>
        <v>127.83985130700613</v>
      </c>
      <c r="N112" s="18">
        <f ca="1">IF(M112&gt;$R$2,1,0)</f>
        <v>0</v>
      </c>
    </row>
    <row r="113" spans="10:14" x14ac:dyDescent="0.25">
      <c r="J113" s="16">
        <f t="shared" ca="1" si="7"/>
        <v>4.5319166208566664</v>
      </c>
      <c r="K113" s="16">
        <f t="shared" ca="1" si="8"/>
        <v>41.126569497897712</v>
      </c>
      <c r="L113" s="17">
        <f t="shared" si="9"/>
        <v>0.90476190476190477</v>
      </c>
      <c r="M113" s="16">
        <f t="shared" ca="1" si="11"/>
        <v>168.63149968859284</v>
      </c>
      <c r="N113" s="18">
        <f t="shared" ca="1" si="10"/>
        <v>0</v>
      </c>
    </row>
    <row r="114" spans="10:14" x14ac:dyDescent="0.25">
      <c r="J114" s="16">
        <f t="shared" ca="1" si="7"/>
        <v>11.532634447540438</v>
      </c>
      <c r="K114" s="16">
        <f t="shared" ca="1" si="8"/>
        <v>40.132803361218507</v>
      </c>
      <c r="L114" s="17">
        <f t="shared" si="9"/>
        <v>0.90476190476190477</v>
      </c>
      <c r="M114" s="16">
        <f t="shared" ca="1" si="11"/>
        <v>418.75724094662615</v>
      </c>
      <c r="N114" s="18">
        <f t="shared" ca="1" si="10"/>
        <v>1</v>
      </c>
    </row>
    <row r="115" spans="10:14" x14ac:dyDescent="0.25">
      <c r="J115" s="16">
        <f t="shared" ca="1" si="7"/>
        <v>4.8656596670109034</v>
      </c>
      <c r="K115" s="16">
        <f t="shared" ca="1" si="8"/>
        <v>38.20719412653375</v>
      </c>
      <c r="L115" s="17">
        <f t="shared" si="9"/>
        <v>0.90476190476190477</v>
      </c>
      <c r="M115" s="16">
        <f t="shared" ca="1" si="11"/>
        <v>168.19813645578535</v>
      </c>
      <c r="N115" s="18">
        <f t="shared" ca="1" si="10"/>
        <v>0</v>
      </c>
    </row>
    <row r="116" spans="10:14" x14ac:dyDescent="0.25">
      <c r="J116" s="16">
        <f t="shared" ca="1" si="7"/>
        <v>8.7608959353277989</v>
      </c>
      <c r="K116" s="16">
        <f t="shared" ca="1" si="8"/>
        <v>21.599304471197403</v>
      </c>
      <c r="L116" s="17">
        <f t="shared" si="9"/>
        <v>0.90476190476190477</v>
      </c>
      <c r="M116" s="16">
        <f t="shared" ca="1" si="11"/>
        <v>171.20742458118082</v>
      </c>
      <c r="N116" s="18">
        <f t="shared" ca="1" si="10"/>
        <v>0</v>
      </c>
    </row>
    <row r="117" spans="10:14" x14ac:dyDescent="0.25">
      <c r="J117" s="16">
        <f t="shared" ca="1" si="7"/>
        <v>14.373833124160228</v>
      </c>
      <c r="K117" s="16">
        <f t="shared" ca="1" si="8"/>
        <v>30.670886665092112</v>
      </c>
      <c r="L117" s="17">
        <f t="shared" si="9"/>
        <v>0.90476190476190477</v>
      </c>
      <c r="M117" s="16">
        <f t="shared" ca="1" si="11"/>
        <v>398.87171081843996</v>
      </c>
      <c r="N117" s="18">
        <f t="shared" ca="1" si="10"/>
        <v>1</v>
      </c>
    </row>
    <row r="118" spans="10:14" x14ac:dyDescent="0.25">
      <c r="J118" s="16">
        <f t="shared" ca="1" si="7"/>
        <v>11.039628405976535</v>
      </c>
      <c r="K118" s="16">
        <f t="shared" ca="1" si="8"/>
        <v>31.50105467656693</v>
      </c>
      <c r="L118" s="17">
        <f t="shared" si="9"/>
        <v>0.90476190476190477</v>
      </c>
      <c r="M118" s="16">
        <f t="shared" ca="1" si="11"/>
        <v>314.63994392796747</v>
      </c>
      <c r="N118" s="18">
        <f t="shared" ca="1" si="10"/>
        <v>1</v>
      </c>
    </row>
    <row r="119" spans="10:14" x14ac:dyDescent="0.25">
      <c r="J119" s="16">
        <f t="shared" ca="1" si="7"/>
        <v>13.242127491669667</v>
      </c>
      <c r="K119" s="16">
        <f t="shared" ca="1" si="8"/>
        <v>32.346737894171724</v>
      </c>
      <c r="L119" s="17">
        <f t="shared" si="9"/>
        <v>0.90476190476190477</v>
      </c>
      <c r="M119" s="16">
        <f t="shared" ca="1" si="11"/>
        <v>387.54537693098302</v>
      </c>
      <c r="N119" s="18">
        <f t="shared" ca="1" si="10"/>
        <v>1</v>
      </c>
    </row>
    <row r="120" spans="10:14" x14ac:dyDescent="0.25">
      <c r="J120" s="16">
        <f t="shared" ca="1" si="7"/>
        <v>11.010084813665216</v>
      </c>
      <c r="K120" s="16">
        <f t="shared" ca="1" si="8"/>
        <v>33.964471654847465</v>
      </c>
      <c r="L120" s="17">
        <f t="shared" si="9"/>
        <v>0.90476190476190477</v>
      </c>
      <c r="M120" s="16">
        <f t="shared" ca="1" si="11"/>
        <v>338.337264659656</v>
      </c>
      <c r="N120" s="18">
        <f t="shared" ca="1" si="10"/>
        <v>1</v>
      </c>
    </row>
    <row r="121" spans="10:14" x14ac:dyDescent="0.25">
      <c r="J121" s="16">
        <f t="shared" ca="1" si="7"/>
        <v>12.043450571751126</v>
      </c>
      <c r="K121" s="16">
        <f t="shared" ca="1" si="8"/>
        <v>23.053919020684585</v>
      </c>
      <c r="L121" s="17">
        <f t="shared" si="9"/>
        <v>0.90476190476190477</v>
      </c>
      <c r="M121" s="16">
        <f t="shared" ca="1" si="11"/>
        <v>251.20599761926624</v>
      </c>
      <c r="N121" s="18">
        <f t="shared" ca="1" si="10"/>
        <v>1</v>
      </c>
    </row>
    <row r="122" spans="10:14" x14ac:dyDescent="0.25">
      <c r="J122" s="16">
        <f t="shared" ca="1" si="7"/>
        <v>11.38742670278986</v>
      </c>
      <c r="K122" s="16">
        <f t="shared" ca="1" si="8"/>
        <v>26.287503137878353</v>
      </c>
      <c r="L122" s="17">
        <f t="shared" si="9"/>
        <v>0.90476190476190477</v>
      </c>
      <c r="M122" s="16">
        <f t="shared" ca="1" si="11"/>
        <v>270.83777564081026</v>
      </c>
      <c r="N122" s="18">
        <f t="shared" ca="1" si="10"/>
        <v>1</v>
      </c>
    </row>
    <row r="123" spans="10:14" x14ac:dyDescent="0.25">
      <c r="J123" s="16">
        <f t="shared" ca="1" si="7"/>
        <v>9.3349105692966461</v>
      </c>
      <c r="K123" s="16">
        <f t="shared" ca="1" si="8"/>
        <v>33.54202591586283</v>
      </c>
      <c r="L123" s="17">
        <f t="shared" si="9"/>
        <v>0.90476190476190477</v>
      </c>
      <c r="M123" s="16">
        <f t="shared" ca="1" si="11"/>
        <v>283.29163964355189</v>
      </c>
      <c r="N123" s="18">
        <f t="shared" ca="1" si="10"/>
        <v>1</v>
      </c>
    </row>
    <row r="124" spans="10:14" x14ac:dyDescent="0.25">
      <c r="J124" s="16">
        <f t="shared" ca="1" si="7"/>
        <v>6.0016909115152952</v>
      </c>
      <c r="K124" s="16">
        <f t="shared" ca="1" si="8"/>
        <v>22.395365182259656</v>
      </c>
      <c r="L124" s="17">
        <f t="shared" si="9"/>
        <v>0.90476190476190477</v>
      </c>
      <c r="M124" s="16">
        <f t="shared" ca="1" si="11"/>
        <v>121.60910161020206</v>
      </c>
      <c r="N124" s="18">
        <f t="shared" ca="1" si="10"/>
        <v>0</v>
      </c>
    </row>
    <row r="125" spans="10:14" x14ac:dyDescent="0.25">
      <c r="J125" s="16">
        <f t="shared" ca="1" si="7"/>
        <v>8.6260668160588665</v>
      </c>
      <c r="K125" s="16">
        <f t="shared" ca="1" si="8"/>
        <v>29.075160464591804</v>
      </c>
      <c r="L125" s="17">
        <f t="shared" si="9"/>
        <v>0.90476190476190477</v>
      </c>
      <c r="M125" s="16">
        <f t="shared" ca="1" si="11"/>
        <v>226.91815524994473</v>
      </c>
      <c r="N125" s="18">
        <f t="shared" ca="1" si="10"/>
        <v>0</v>
      </c>
    </row>
    <row r="126" spans="10:14" x14ac:dyDescent="0.25">
      <c r="J126" s="16">
        <f t="shared" ca="1" si="7"/>
        <v>12.038403380040535</v>
      </c>
      <c r="K126" s="16">
        <f t="shared" ca="1" si="8"/>
        <v>30.499637811794042</v>
      </c>
      <c r="L126" s="17">
        <f t="shared" si="9"/>
        <v>0.90476190476190477</v>
      </c>
      <c r="M126" s="16">
        <f t="shared" ca="1" si="11"/>
        <v>332.19866264508363</v>
      </c>
      <c r="N126" s="18">
        <f t="shared" ca="1" si="10"/>
        <v>1</v>
      </c>
    </row>
    <row r="127" spans="10:14" x14ac:dyDescent="0.25">
      <c r="J127" s="16">
        <f t="shared" ca="1" si="7"/>
        <v>12.404306524134505</v>
      </c>
      <c r="K127" s="16">
        <f t="shared" ca="1" si="8"/>
        <v>30.440560762275162</v>
      </c>
      <c r="L127" s="17">
        <f t="shared" si="9"/>
        <v>0.90476190476190477</v>
      </c>
      <c r="M127" s="16">
        <f t="shared" ca="1" si="11"/>
        <v>341.63270870353568</v>
      </c>
      <c r="N127" s="18">
        <f t="shared" ca="1" si="10"/>
        <v>1</v>
      </c>
    </row>
    <row r="128" spans="10:14" x14ac:dyDescent="0.25">
      <c r="J128" s="16">
        <f t="shared" ca="1" si="7"/>
        <v>4.2486994132751095</v>
      </c>
      <c r="K128" s="16">
        <f t="shared" ca="1" si="8"/>
        <v>27.875171699454995</v>
      </c>
      <c r="L128" s="17">
        <f t="shared" si="9"/>
        <v>0.90476190476190477</v>
      </c>
      <c r="M128" s="16">
        <f t="shared" ca="1" si="11"/>
        <v>107.15387082113953</v>
      </c>
      <c r="N128" s="18">
        <f t="shared" ca="1" si="10"/>
        <v>0</v>
      </c>
    </row>
    <row r="129" spans="10:14" x14ac:dyDescent="0.25">
      <c r="J129" s="16">
        <f t="shared" ca="1" si="7"/>
        <v>4.7763558650722979</v>
      </c>
      <c r="K129" s="16">
        <f t="shared" ca="1" si="8"/>
        <v>21.009436087312029</v>
      </c>
      <c r="L129" s="17">
        <f t="shared" si="9"/>
        <v>0.90476190476190477</v>
      </c>
      <c r="M129" s="16">
        <f t="shared" ca="1" si="11"/>
        <v>90.791539155828261</v>
      </c>
      <c r="N129" s="18">
        <f t="shared" ca="1" si="10"/>
        <v>0</v>
      </c>
    </row>
    <row r="130" spans="10:14" x14ac:dyDescent="0.25">
      <c r="J130" s="16">
        <f t="shared" ca="1" si="7"/>
        <v>4.2153533465696631</v>
      </c>
      <c r="K130" s="16">
        <f t="shared" ca="1" si="8"/>
        <v>28.778331900842687</v>
      </c>
      <c r="L130" s="17">
        <f t="shared" si="9"/>
        <v>0.90476190476190477</v>
      </c>
      <c r="M130" s="16">
        <f t="shared" ca="1" si="11"/>
        <v>109.75742457387071</v>
      </c>
      <c r="N130" s="18">
        <f t="shared" ca="1" si="10"/>
        <v>0</v>
      </c>
    </row>
    <row r="131" spans="10:14" x14ac:dyDescent="0.25">
      <c r="J131" s="16">
        <f t="shared" ca="1" si="7"/>
        <v>8.4483128893396948</v>
      </c>
      <c r="K131" s="16">
        <f t="shared" ca="1" si="8"/>
        <v>28.036015602188591</v>
      </c>
      <c r="L131" s="17">
        <f t="shared" si="9"/>
        <v>0.90476190476190477</v>
      </c>
      <c r="M131" s="16">
        <f t="shared" ca="1" si="11"/>
        <v>214.29921940839401</v>
      </c>
      <c r="N131" s="18">
        <f t="shared" ca="1" si="10"/>
        <v>0</v>
      </c>
    </row>
    <row r="132" spans="10:14" x14ac:dyDescent="0.25">
      <c r="J132" s="16">
        <f t="shared" ref="J132:J195" ca="1" si="12">$D$2*(-LN(1-RAND()))^(1/$D$3)</f>
        <v>4.5165730576407768</v>
      </c>
      <c r="K132" s="16">
        <f t="shared" ref="K132:K195" ca="1" si="13">RAND()*($H$3-$H$2)+$H$2</f>
        <v>26.709244132707369</v>
      </c>
      <c r="L132" s="17">
        <f t="shared" ref="L132:L195" si="14">$D$22</f>
        <v>0.90476190476190477</v>
      </c>
      <c r="M132" s="16">
        <f t="shared" ca="1" si="11"/>
        <v>109.14527601690409</v>
      </c>
      <c r="N132" s="18">
        <f t="shared" ref="N132:N195" ca="1" si="15">IF(M132&gt;$R$2,1,0)</f>
        <v>0</v>
      </c>
    </row>
    <row r="133" spans="10:14" x14ac:dyDescent="0.25">
      <c r="J133" s="16">
        <f t="shared" ca="1" si="12"/>
        <v>8.3341092544833053</v>
      </c>
      <c r="K133" s="16">
        <f t="shared" ca="1" si="13"/>
        <v>39.666597220466436</v>
      </c>
      <c r="L133" s="17">
        <f t="shared" si="14"/>
        <v>0.90476190476190477</v>
      </c>
      <c r="M133" s="16">
        <f t="shared" ca="1" si="11"/>
        <v>299.10139737095574</v>
      </c>
      <c r="N133" s="18">
        <f t="shared" ca="1" si="15"/>
        <v>1</v>
      </c>
    </row>
    <row r="134" spans="10:14" x14ac:dyDescent="0.25">
      <c r="J134" s="16">
        <f t="shared" ca="1" si="12"/>
        <v>10.032555408624889</v>
      </c>
      <c r="K134" s="16">
        <f t="shared" ca="1" si="13"/>
        <v>20.676811857607646</v>
      </c>
      <c r="L134" s="17">
        <f t="shared" si="14"/>
        <v>0.90476190476190477</v>
      </c>
      <c r="M134" s="16">
        <f t="shared" ca="1" si="11"/>
        <v>187.68495009847885</v>
      </c>
      <c r="N134" s="18">
        <f t="shared" ca="1" si="15"/>
        <v>0</v>
      </c>
    </row>
    <row r="135" spans="10:14" x14ac:dyDescent="0.25">
      <c r="J135" s="16">
        <f t="shared" ca="1" si="12"/>
        <v>10.887231703977157</v>
      </c>
      <c r="K135" s="16">
        <f t="shared" ca="1" si="13"/>
        <v>45.106024653028527</v>
      </c>
      <c r="L135" s="17">
        <f t="shared" si="14"/>
        <v>0.90476190476190477</v>
      </c>
      <c r="M135" s="16">
        <f t="shared" ca="1" si="11"/>
        <v>444.31024243874867</v>
      </c>
      <c r="N135" s="18">
        <f t="shared" ca="1" si="15"/>
        <v>1</v>
      </c>
    </row>
    <row r="136" spans="10:14" x14ac:dyDescent="0.25">
      <c r="J136" s="16">
        <f t="shared" ca="1" si="12"/>
        <v>11.138502362111835</v>
      </c>
      <c r="K136" s="16">
        <f t="shared" ca="1" si="13"/>
        <v>27.255680085909631</v>
      </c>
      <c r="L136" s="17">
        <f t="shared" si="14"/>
        <v>0.90476190476190477</v>
      </c>
      <c r="M136" s="16">
        <f t="shared" ca="1" si="11"/>
        <v>274.67436587330997</v>
      </c>
      <c r="N136" s="18">
        <f t="shared" ca="1" si="15"/>
        <v>1</v>
      </c>
    </row>
    <row r="137" spans="10:14" x14ac:dyDescent="0.25">
      <c r="J137" s="16">
        <f t="shared" ca="1" si="12"/>
        <v>4.869469717773617</v>
      </c>
      <c r="K137" s="16">
        <f t="shared" ca="1" si="13"/>
        <v>38.665147207575856</v>
      </c>
      <c r="L137" s="17">
        <f t="shared" si="14"/>
        <v>0.90476190476190477</v>
      </c>
      <c r="M137" s="16">
        <f t="shared" ca="1" si="11"/>
        <v>170.34745265478313</v>
      </c>
      <c r="N137" s="18">
        <f t="shared" ca="1" si="15"/>
        <v>0</v>
      </c>
    </row>
    <row r="138" spans="10:14" x14ac:dyDescent="0.25">
      <c r="J138" s="16">
        <f t="shared" ca="1" si="12"/>
        <v>6.9930101006482968</v>
      </c>
      <c r="K138" s="16">
        <f t="shared" ca="1" si="13"/>
        <v>26.259507223830514</v>
      </c>
      <c r="L138" s="17">
        <f t="shared" si="14"/>
        <v>0.90476190476190477</v>
      </c>
      <c r="M138" s="16">
        <f t="shared" ca="1" si="11"/>
        <v>166.14414218245622</v>
      </c>
      <c r="N138" s="18">
        <f t="shared" ca="1" si="15"/>
        <v>0</v>
      </c>
    </row>
    <row r="139" spans="10:14" x14ac:dyDescent="0.25">
      <c r="J139" s="16">
        <f t="shared" ca="1" si="12"/>
        <v>8.339193780118169</v>
      </c>
      <c r="K139" s="16">
        <f t="shared" ca="1" si="13"/>
        <v>37.062067066682204</v>
      </c>
      <c r="L139" s="17">
        <f t="shared" si="14"/>
        <v>0.90476190476190477</v>
      </c>
      <c r="M139" s="16">
        <f t="shared" ca="1" si="11"/>
        <v>279.63273447881784</v>
      </c>
      <c r="N139" s="18">
        <f t="shared" ca="1" si="15"/>
        <v>1</v>
      </c>
    </row>
    <row r="140" spans="10:14" x14ac:dyDescent="0.25">
      <c r="J140" s="16">
        <f t="shared" ca="1" si="12"/>
        <v>9.1399247327307886</v>
      </c>
      <c r="K140" s="16">
        <f t="shared" ca="1" si="13"/>
        <v>33.868823869485709</v>
      </c>
      <c r="L140" s="17">
        <f t="shared" si="14"/>
        <v>0.90476190476190477</v>
      </c>
      <c r="M140" s="16">
        <f t="shared" ca="1" si="11"/>
        <v>280.07673895767101</v>
      </c>
      <c r="N140" s="18">
        <f t="shared" ca="1" si="15"/>
        <v>1</v>
      </c>
    </row>
    <row r="141" spans="10:14" x14ac:dyDescent="0.25">
      <c r="J141" s="16">
        <f t="shared" ca="1" si="12"/>
        <v>11.928356481864689</v>
      </c>
      <c r="K141" s="16">
        <f t="shared" ca="1" si="13"/>
        <v>32.944126000325063</v>
      </c>
      <c r="L141" s="17">
        <f t="shared" si="14"/>
        <v>0.90476190476190477</v>
      </c>
      <c r="M141" s="16">
        <f t="shared" ca="1" si="11"/>
        <v>355.54363330435928</v>
      </c>
      <c r="N141" s="18">
        <f t="shared" ca="1" si="15"/>
        <v>1</v>
      </c>
    </row>
    <row r="142" spans="10:14" x14ac:dyDescent="0.25">
      <c r="J142" s="16">
        <f t="shared" ca="1" si="12"/>
        <v>5.9908609238178849</v>
      </c>
      <c r="K142" s="16">
        <f t="shared" ca="1" si="13"/>
        <v>40.881841844267292</v>
      </c>
      <c r="L142" s="17">
        <f t="shared" si="14"/>
        <v>0.90476190476190477</v>
      </c>
      <c r="M142" s="16">
        <f t="shared" ca="1" si="11"/>
        <v>221.59195938914058</v>
      </c>
      <c r="N142" s="18">
        <f t="shared" ca="1" si="15"/>
        <v>0</v>
      </c>
    </row>
    <row r="143" spans="10:14" x14ac:dyDescent="0.25">
      <c r="J143" s="16">
        <f t="shared" ca="1" si="12"/>
        <v>9.837796361577599</v>
      </c>
      <c r="K143" s="16">
        <f t="shared" ca="1" si="13"/>
        <v>43.176085447829209</v>
      </c>
      <c r="L143" s="17">
        <f t="shared" si="14"/>
        <v>0.90476190476190477</v>
      </c>
      <c r="M143" s="16">
        <f t="shared" ca="1" si="11"/>
        <v>384.30443762812075</v>
      </c>
      <c r="N143" s="18">
        <f t="shared" ca="1" si="15"/>
        <v>1</v>
      </c>
    </row>
    <row r="144" spans="10:14" x14ac:dyDescent="0.25">
      <c r="J144" s="16">
        <f t="shared" ca="1" si="12"/>
        <v>7.1538799097558456</v>
      </c>
      <c r="K144" s="16">
        <f t="shared" ca="1" si="13"/>
        <v>43.383092480216945</v>
      </c>
      <c r="L144" s="17">
        <f t="shared" si="14"/>
        <v>0.90476190476190477</v>
      </c>
      <c r="M144" s="16">
        <f t="shared" ca="1" si="11"/>
        <v>280.79958288708445</v>
      </c>
      <c r="N144" s="18">
        <f t="shared" ca="1" si="15"/>
        <v>1</v>
      </c>
    </row>
    <row r="145" spans="10:14" x14ac:dyDescent="0.25">
      <c r="J145" s="16">
        <f t="shared" ca="1" si="12"/>
        <v>9.1601294225178798</v>
      </c>
      <c r="K145" s="16">
        <f t="shared" ca="1" si="13"/>
        <v>33.763533991577155</v>
      </c>
      <c r="L145" s="17">
        <f t="shared" si="14"/>
        <v>0.90476190476190477</v>
      </c>
      <c r="M145" s="16">
        <f t="shared" ca="1" si="11"/>
        <v>279.82326101734003</v>
      </c>
      <c r="N145" s="18">
        <f t="shared" ca="1" si="15"/>
        <v>1</v>
      </c>
    </row>
    <row r="146" spans="10:14" x14ac:dyDescent="0.25">
      <c r="J146" s="16">
        <f t="shared" ca="1" si="12"/>
        <v>6.3779473612681565</v>
      </c>
      <c r="K146" s="16">
        <f t="shared" ca="1" si="13"/>
        <v>44.988945324532267</v>
      </c>
      <c r="L146" s="17">
        <f t="shared" si="14"/>
        <v>0.90476190476190477</v>
      </c>
      <c r="M146" s="16">
        <f t="shared" ca="1" si="11"/>
        <v>259.60977986942481</v>
      </c>
      <c r="N146" s="18">
        <f t="shared" ca="1" si="15"/>
        <v>1</v>
      </c>
    </row>
    <row r="147" spans="10:14" x14ac:dyDescent="0.25">
      <c r="J147" s="16">
        <f t="shared" ca="1" si="12"/>
        <v>8.8067475995882933</v>
      </c>
      <c r="K147" s="16">
        <f t="shared" ca="1" si="13"/>
        <v>44.295751374507674</v>
      </c>
      <c r="L147" s="17">
        <f t="shared" si="14"/>
        <v>0.90476190476190477</v>
      </c>
      <c r="M147" s="16">
        <f t="shared" ref="M147:M210" ca="1" si="16">J147*K147*L147</f>
        <v>352.94897808089053</v>
      </c>
      <c r="N147" s="18">
        <f t="shared" ca="1" si="15"/>
        <v>1</v>
      </c>
    </row>
    <row r="148" spans="10:14" x14ac:dyDescent="0.25">
      <c r="J148" s="16">
        <f t="shared" ca="1" si="12"/>
        <v>6.5925580562461157</v>
      </c>
      <c r="K148" s="16">
        <f t="shared" ca="1" si="13"/>
        <v>22.310304193785175</v>
      </c>
      <c r="L148" s="17">
        <f t="shared" si="14"/>
        <v>0.90476190476190477</v>
      </c>
      <c r="M148" s="16">
        <f t="shared" ca="1" si="16"/>
        <v>133.07416844527427</v>
      </c>
      <c r="N148" s="18">
        <f t="shared" ca="1" si="15"/>
        <v>0</v>
      </c>
    </row>
    <row r="149" spans="10:14" x14ac:dyDescent="0.25">
      <c r="J149" s="16">
        <f t="shared" ca="1" si="12"/>
        <v>9.1753627151957655</v>
      </c>
      <c r="K149" s="16">
        <f t="shared" ca="1" si="13"/>
        <v>21.406794574476045</v>
      </c>
      <c r="L149" s="17">
        <f t="shared" si="14"/>
        <v>0.90476190476190477</v>
      </c>
      <c r="M149" s="16">
        <f t="shared" ca="1" si="16"/>
        <v>177.70890433426419</v>
      </c>
      <c r="N149" s="18">
        <f t="shared" ca="1" si="15"/>
        <v>0</v>
      </c>
    </row>
    <row r="150" spans="10:14" x14ac:dyDescent="0.25">
      <c r="J150" s="16">
        <f t="shared" ca="1" si="12"/>
        <v>5.7979940320873258</v>
      </c>
      <c r="K150" s="16">
        <f t="shared" ca="1" si="13"/>
        <v>33.034075062851969</v>
      </c>
      <c r="L150" s="17">
        <f t="shared" si="14"/>
        <v>0.90476190476190477</v>
      </c>
      <c r="M150" s="16">
        <f t="shared" ca="1" si="16"/>
        <v>173.29028720613661</v>
      </c>
      <c r="N150" s="18">
        <f t="shared" ca="1" si="15"/>
        <v>0</v>
      </c>
    </row>
    <row r="151" spans="10:14" x14ac:dyDescent="0.25">
      <c r="J151" s="16">
        <f t="shared" ca="1" si="12"/>
        <v>7.0703791796349549</v>
      </c>
      <c r="K151" s="16">
        <f t="shared" ca="1" si="13"/>
        <v>22.846904498259359</v>
      </c>
      <c r="L151" s="17">
        <f t="shared" si="14"/>
        <v>0.90476190476190477</v>
      </c>
      <c r="M151" s="16">
        <f t="shared" ca="1" si="16"/>
        <v>146.15187046611535</v>
      </c>
      <c r="N151" s="18">
        <f t="shared" ca="1" si="15"/>
        <v>0</v>
      </c>
    </row>
    <row r="152" spans="10:14" x14ac:dyDescent="0.25">
      <c r="J152" s="16">
        <f t="shared" ca="1" si="12"/>
        <v>10.889474915499857</v>
      </c>
      <c r="K152" s="16">
        <f t="shared" ca="1" si="13"/>
        <v>34.554733354143437</v>
      </c>
      <c r="L152" s="17">
        <f t="shared" si="14"/>
        <v>0.90476190476190477</v>
      </c>
      <c r="M152" s="16">
        <f t="shared" ca="1" si="16"/>
        <v>340.44643520775679</v>
      </c>
      <c r="N152" s="18">
        <f t="shared" ca="1" si="15"/>
        <v>1</v>
      </c>
    </row>
    <row r="153" spans="10:14" x14ac:dyDescent="0.25">
      <c r="J153" s="16">
        <f t="shared" ca="1" si="12"/>
        <v>10.963269590589416</v>
      </c>
      <c r="K153" s="16">
        <f t="shared" ca="1" si="13"/>
        <v>40.122053974773294</v>
      </c>
      <c r="L153" s="17">
        <f t="shared" si="14"/>
        <v>0.90476190476190477</v>
      </c>
      <c r="M153" s="16">
        <f t="shared" ca="1" si="16"/>
        <v>397.9766186104174</v>
      </c>
      <c r="N153" s="18">
        <f t="shared" ca="1" si="15"/>
        <v>1</v>
      </c>
    </row>
    <row r="154" spans="10:14" x14ac:dyDescent="0.25">
      <c r="J154" s="16">
        <f t="shared" ca="1" si="12"/>
        <v>12.364110483864845</v>
      </c>
      <c r="K154" s="16">
        <f t="shared" ca="1" si="13"/>
        <v>44.429256540412752</v>
      </c>
      <c r="L154" s="17">
        <f t="shared" si="14"/>
        <v>0.90476190476190477</v>
      </c>
      <c r="M154" s="16">
        <f t="shared" ca="1" si="16"/>
        <v>497.01126166910109</v>
      </c>
      <c r="N154" s="18">
        <f t="shared" ca="1" si="15"/>
        <v>1</v>
      </c>
    </row>
    <row r="155" spans="10:14" x14ac:dyDescent="0.25">
      <c r="J155" s="16">
        <f t="shared" ca="1" si="12"/>
        <v>9.2295601830683562</v>
      </c>
      <c r="K155" s="16">
        <f t="shared" ca="1" si="13"/>
        <v>38.888562066175531</v>
      </c>
      <c r="L155" s="17">
        <f t="shared" si="14"/>
        <v>0.90476190476190477</v>
      </c>
      <c r="M155" s="16">
        <f t="shared" ca="1" si="16"/>
        <v>324.74105506820797</v>
      </c>
      <c r="N155" s="18">
        <f t="shared" ca="1" si="15"/>
        <v>1</v>
      </c>
    </row>
    <row r="156" spans="10:14" x14ac:dyDescent="0.25">
      <c r="J156" s="16">
        <f t="shared" ca="1" si="12"/>
        <v>10.390204805229404</v>
      </c>
      <c r="K156" s="16">
        <f t="shared" ca="1" si="13"/>
        <v>32.184870933086678</v>
      </c>
      <c r="L156" s="17">
        <f t="shared" si="14"/>
        <v>0.90476190476190477</v>
      </c>
      <c r="M156" s="16">
        <f t="shared" ca="1" si="16"/>
        <v>302.55907675563157</v>
      </c>
      <c r="N156" s="18">
        <f t="shared" ca="1" si="15"/>
        <v>1</v>
      </c>
    </row>
    <row r="157" spans="10:14" x14ac:dyDescent="0.25">
      <c r="J157" s="16">
        <f t="shared" ca="1" si="12"/>
        <v>14.719704220179798</v>
      </c>
      <c r="K157" s="16">
        <f t="shared" ca="1" si="13"/>
        <v>22.741177241303664</v>
      </c>
      <c r="L157" s="17">
        <f t="shared" si="14"/>
        <v>0.90476190476190477</v>
      </c>
      <c r="M157" s="16">
        <f t="shared" ca="1" si="16"/>
        <v>302.86307855251488</v>
      </c>
      <c r="N157" s="18">
        <f t="shared" ca="1" si="15"/>
        <v>1</v>
      </c>
    </row>
    <row r="158" spans="10:14" x14ac:dyDescent="0.25">
      <c r="J158" s="16">
        <f t="shared" ca="1" si="12"/>
        <v>8.824263168161627</v>
      </c>
      <c r="K158" s="16">
        <f t="shared" ca="1" si="13"/>
        <v>28.514599252017184</v>
      </c>
      <c r="L158" s="17">
        <f t="shared" si="14"/>
        <v>0.90476190476190477</v>
      </c>
      <c r="M158" s="16">
        <f t="shared" ca="1" si="16"/>
        <v>227.65648717880106</v>
      </c>
      <c r="N158" s="18">
        <f t="shared" ca="1" si="15"/>
        <v>0</v>
      </c>
    </row>
    <row r="159" spans="10:14" x14ac:dyDescent="0.25">
      <c r="J159" s="16">
        <f t="shared" ca="1" si="12"/>
        <v>11.218014549988951</v>
      </c>
      <c r="K159" s="16">
        <f t="shared" ca="1" si="13"/>
        <v>20.846479161884602</v>
      </c>
      <c r="L159" s="17">
        <f t="shared" si="14"/>
        <v>0.90476190476190477</v>
      </c>
      <c r="M159" s="16">
        <f t="shared" ca="1" si="16"/>
        <v>211.58409640605694</v>
      </c>
      <c r="N159" s="18">
        <f t="shared" ca="1" si="15"/>
        <v>0</v>
      </c>
    </row>
    <row r="160" spans="10:14" x14ac:dyDescent="0.25">
      <c r="J160" s="16">
        <f t="shared" ca="1" si="12"/>
        <v>6.4859405168622031</v>
      </c>
      <c r="K160" s="16">
        <f t="shared" ca="1" si="13"/>
        <v>30.714773409312993</v>
      </c>
      <c r="L160" s="17">
        <f t="shared" si="14"/>
        <v>0.90476190476190477</v>
      </c>
      <c r="M160" s="16">
        <f t="shared" ca="1" si="16"/>
        <v>180.24141300535211</v>
      </c>
      <c r="N160" s="18">
        <f t="shared" ca="1" si="15"/>
        <v>0</v>
      </c>
    </row>
    <row r="161" spans="10:14" x14ac:dyDescent="0.25">
      <c r="J161" s="16">
        <f t="shared" ca="1" si="12"/>
        <v>6.3789245695968733</v>
      </c>
      <c r="K161" s="16">
        <f t="shared" ca="1" si="13"/>
        <v>30.707138129482825</v>
      </c>
      <c r="L161" s="17">
        <f t="shared" si="14"/>
        <v>0.90476190476190477</v>
      </c>
      <c r="M161" s="16">
        <f t="shared" ca="1" si="16"/>
        <v>177.223420935576</v>
      </c>
      <c r="N161" s="18">
        <f t="shared" ca="1" si="15"/>
        <v>0</v>
      </c>
    </row>
    <row r="162" spans="10:14" x14ac:dyDescent="0.25">
      <c r="J162" s="16">
        <f t="shared" ca="1" si="12"/>
        <v>10.806207244131045</v>
      </c>
      <c r="K162" s="16">
        <f t="shared" ca="1" si="13"/>
        <v>26.073677299743345</v>
      </c>
      <c r="L162" s="17">
        <f t="shared" si="14"/>
        <v>0.90476190476190477</v>
      </c>
      <c r="M162" s="16">
        <f t="shared" ca="1" si="16"/>
        <v>254.92350713499107</v>
      </c>
      <c r="N162" s="18">
        <f t="shared" ca="1" si="15"/>
        <v>1</v>
      </c>
    </row>
    <row r="163" spans="10:14" x14ac:dyDescent="0.25">
      <c r="J163" s="16">
        <f t="shared" ca="1" si="12"/>
        <v>9.7682934939965271</v>
      </c>
      <c r="K163" s="16">
        <f t="shared" ca="1" si="13"/>
        <v>42.962995900724621</v>
      </c>
      <c r="L163" s="17">
        <f t="shared" si="14"/>
        <v>0.90476190476190477</v>
      </c>
      <c r="M163" s="16">
        <f t="shared" ca="1" si="16"/>
        <v>379.70609111682421</v>
      </c>
      <c r="N163" s="18">
        <f t="shared" ca="1" si="15"/>
        <v>1</v>
      </c>
    </row>
    <row r="164" spans="10:14" x14ac:dyDescent="0.25">
      <c r="J164" s="16">
        <f t="shared" ca="1" si="12"/>
        <v>7.6473329890399411</v>
      </c>
      <c r="K164" s="16">
        <f t="shared" ca="1" si="13"/>
        <v>33.243991567632364</v>
      </c>
      <c r="L164" s="17">
        <f t="shared" si="14"/>
        <v>0.90476190476190477</v>
      </c>
      <c r="M164" s="16">
        <f t="shared" ca="1" si="16"/>
        <v>230.01569498323292</v>
      </c>
      <c r="N164" s="18">
        <f t="shared" ca="1" si="15"/>
        <v>0</v>
      </c>
    </row>
    <row r="165" spans="10:14" x14ac:dyDescent="0.25">
      <c r="J165" s="16">
        <f t="shared" ca="1" si="12"/>
        <v>7.4616316071146667</v>
      </c>
      <c r="K165" s="16">
        <f t="shared" ca="1" si="13"/>
        <v>22.23220002445245</v>
      </c>
      <c r="L165" s="17">
        <f t="shared" si="14"/>
        <v>0.90476190476190477</v>
      </c>
      <c r="M165" s="16">
        <f t="shared" ca="1" si="16"/>
        <v>150.08958293165941</v>
      </c>
      <c r="N165" s="18">
        <f t="shared" ca="1" si="15"/>
        <v>0</v>
      </c>
    </row>
    <row r="166" spans="10:14" x14ac:dyDescent="0.25">
      <c r="J166" s="16">
        <f t="shared" ca="1" si="12"/>
        <v>6.5195006894009646</v>
      </c>
      <c r="K166" s="16">
        <f t="shared" ca="1" si="13"/>
        <v>28.245670195206877</v>
      </c>
      <c r="L166" s="17">
        <f t="shared" si="14"/>
        <v>0.90476190476190477</v>
      </c>
      <c r="M166" s="16">
        <f t="shared" ca="1" si="16"/>
        <v>166.60979332831556</v>
      </c>
      <c r="N166" s="18">
        <f t="shared" ca="1" si="15"/>
        <v>0</v>
      </c>
    </row>
    <row r="167" spans="10:14" x14ac:dyDescent="0.25">
      <c r="J167" s="16">
        <f t="shared" ca="1" si="12"/>
        <v>10.162412957886099</v>
      </c>
      <c r="K167" s="16">
        <f t="shared" ca="1" si="13"/>
        <v>43.499264261149555</v>
      </c>
      <c r="L167" s="17">
        <f t="shared" si="14"/>
        <v>0.90476190476190477</v>
      </c>
      <c r="M167" s="16">
        <f t="shared" ca="1" si="16"/>
        <v>399.95677375877813</v>
      </c>
      <c r="N167" s="18">
        <f t="shared" ca="1" si="15"/>
        <v>1</v>
      </c>
    </row>
    <row r="168" spans="10:14" x14ac:dyDescent="0.25">
      <c r="J168" s="16">
        <f t="shared" ca="1" si="12"/>
        <v>6.1240610972676972</v>
      </c>
      <c r="K168" s="16">
        <f t="shared" ca="1" si="13"/>
        <v>42.621687754505231</v>
      </c>
      <c r="L168" s="17">
        <f t="shared" si="14"/>
        <v>0.90476190476190477</v>
      </c>
      <c r="M168" s="16">
        <f t="shared" ca="1" si="16"/>
        <v>236.15897988894636</v>
      </c>
      <c r="N168" s="18">
        <f t="shared" ca="1" si="15"/>
        <v>0</v>
      </c>
    </row>
    <row r="169" spans="10:14" x14ac:dyDescent="0.25">
      <c r="J169" s="16">
        <f t="shared" ca="1" si="12"/>
        <v>8.6801565055677496</v>
      </c>
      <c r="K169" s="16">
        <f t="shared" ca="1" si="13"/>
        <v>39.901878487337719</v>
      </c>
      <c r="L169" s="17">
        <f t="shared" si="14"/>
        <v>0.90476190476190477</v>
      </c>
      <c r="M169" s="16">
        <f t="shared" ca="1" si="16"/>
        <v>313.36840250421562</v>
      </c>
      <c r="N169" s="18">
        <f t="shared" ca="1" si="15"/>
        <v>1</v>
      </c>
    </row>
    <row r="170" spans="10:14" x14ac:dyDescent="0.25">
      <c r="J170" s="16">
        <f t="shared" ca="1" si="12"/>
        <v>12.5090744100068</v>
      </c>
      <c r="K170" s="16">
        <f t="shared" ca="1" si="13"/>
        <v>21.485862907389947</v>
      </c>
      <c r="L170" s="17">
        <f t="shared" si="14"/>
        <v>0.90476190476190477</v>
      </c>
      <c r="M170" s="16">
        <f t="shared" ca="1" si="16"/>
        <v>243.17128093157962</v>
      </c>
      <c r="N170" s="18">
        <f t="shared" ca="1" si="15"/>
        <v>1</v>
      </c>
    </row>
    <row r="171" spans="10:14" x14ac:dyDescent="0.25">
      <c r="J171" s="16">
        <f t="shared" ca="1" si="12"/>
        <v>6.0963314074896493</v>
      </c>
      <c r="K171" s="16">
        <f t="shared" ca="1" si="13"/>
        <v>31.023546095762736</v>
      </c>
      <c r="L171" s="17">
        <f t="shared" si="14"/>
        <v>0.90476190476190477</v>
      </c>
      <c r="M171" s="16">
        <f t="shared" ca="1" si="16"/>
        <v>171.11745477479636</v>
      </c>
      <c r="N171" s="18">
        <f t="shared" ca="1" si="15"/>
        <v>0</v>
      </c>
    </row>
    <row r="172" spans="10:14" x14ac:dyDescent="0.25">
      <c r="J172" s="16">
        <f t="shared" ca="1" si="12"/>
        <v>10.334055282919882</v>
      </c>
      <c r="K172" s="16">
        <f t="shared" ca="1" si="13"/>
        <v>42.953328100140524</v>
      </c>
      <c r="L172" s="17">
        <f t="shared" si="14"/>
        <v>0.90476190476190477</v>
      </c>
      <c r="M172" s="16">
        <f t="shared" ca="1" si="16"/>
        <v>401.60758458441506</v>
      </c>
      <c r="N172" s="18">
        <f t="shared" ca="1" si="15"/>
        <v>1</v>
      </c>
    </row>
    <row r="173" spans="10:14" x14ac:dyDescent="0.25">
      <c r="J173" s="16">
        <f t="shared" ca="1" si="12"/>
        <v>5.569007866622024</v>
      </c>
      <c r="K173" s="16">
        <f t="shared" ca="1" si="13"/>
        <v>42.124946344938401</v>
      </c>
      <c r="L173" s="17">
        <f t="shared" si="14"/>
        <v>0.90476190476190477</v>
      </c>
      <c r="M173" s="16">
        <f t="shared" ca="1" si="16"/>
        <v>212.25185685446951</v>
      </c>
      <c r="N173" s="18">
        <f t="shared" ca="1" si="15"/>
        <v>0</v>
      </c>
    </row>
    <row r="174" spans="10:14" x14ac:dyDescent="0.25">
      <c r="J174" s="16">
        <f t="shared" ca="1" si="12"/>
        <v>2.7856754516140665</v>
      </c>
      <c r="K174" s="16">
        <f t="shared" ca="1" si="13"/>
        <v>44.769380879048825</v>
      </c>
      <c r="L174" s="17">
        <f t="shared" si="14"/>
        <v>0.90476190476190477</v>
      </c>
      <c r="M174" s="16">
        <f t="shared" ca="1" si="16"/>
        <v>112.83554003218111</v>
      </c>
      <c r="N174" s="18">
        <f t="shared" ca="1" si="15"/>
        <v>0</v>
      </c>
    </row>
    <row r="175" spans="10:14" x14ac:dyDescent="0.25">
      <c r="J175" s="16">
        <f t="shared" ca="1" si="12"/>
        <v>8.9682031224766838</v>
      </c>
      <c r="K175" s="16">
        <f t="shared" ca="1" si="13"/>
        <v>37.850961884362576</v>
      </c>
      <c r="L175" s="17">
        <f t="shared" si="14"/>
        <v>0.90476190476190477</v>
      </c>
      <c r="M175" s="16">
        <f t="shared" ca="1" si="16"/>
        <v>307.12605603055437</v>
      </c>
      <c r="N175" s="18">
        <f t="shared" ca="1" si="15"/>
        <v>1</v>
      </c>
    </row>
    <row r="176" spans="10:14" x14ac:dyDescent="0.25">
      <c r="J176" s="16">
        <f t="shared" ca="1" si="12"/>
        <v>5.2521246190130864</v>
      </c>
      <c r="K176" s="16">
        <f t="shared" ca="1" si="13"/>
        <v>33.870610838401866</v>
      </c>
      <c r="L176" s="17">
        <f t="shared" si="14"/>
        <v>0.90476190476190477</v>
      </c>
      <c r="M176" s="16">
        <f t="shared" ca="1" si="16"/>
        <v>160.9505100886789</v>
      </c>
      <c r="N176" s="18">
        <f t="shared" ca="1" si="15"/>
        <v>0</v>
      </c>
    </row>
    <row r="177" spans="10:14" x14ac:dyDescent="0.25">
      <c r="J177" s="16">
        <f t="shared" ca="1" si="12"/>
        <v>11.336533522889161</v>
      </c>
      <c r="K177" s="16">
        <f t="shared" ca="1" si="13"/>
        <v>39.638397066922849</v>
      </c>
      <c r="L177" s="17">
        <f t="shared" si="14"/>
        <v>0.90476190476190477</v>
      </c>
      <c r="M177" s="16">
        <f t="shared" ca="1" si="16"/>
        <v>406.56563455773733</v>
      </c>
      <c r="N177" s="18">
        <f t="shared" ca="1" si="15"/>
        <v>1</v>
      </c>
    </row>
    <row r="178" spans="10:14" x14ac:dyDescent="0.25">
      <c r="J178" s="16">
        <f t="shared" ca="1" si="12"/>
        <v>8.7704863598008647</v>
      </c>
      <c r="K178" s="16">
        <f t="shared" ca="1" si="13"/>
        <v>37.67604542134368</v>
      </c>
      <c r="L178" s="17">
        <f t="shared" si="14"/>
        <v>0.90476190476190477</v>
      </c>
      <c r="M178" s="16">
        <f t="shared" ca="1" si="16"/>
        <v>298.96702889159616</v>
      </c>
      <c r="N178" s="18">
        <f t="shared" ca="1" si="15"/>
        <v>1</v>
      </c>
    </row>
    <row r="179" spans="10:14" x14ac:dyDescent="0.25">
      <c r="J179" s="16">
        <f t="shared" ca="1" si="12"/>
        <v>3.817675965085773</v>
      </c>
      <c r="K179" s="16">
        <f t="shared" ca="1" si="13"/>
        <v>35.83181043481099</v>
      </c>
      <c r="L179" s="17">
        <f t="shared" si="14"/>
        <v>0.90476190476190477</v>
      </c>
      <c r="M179" s="16">
        <f t="shared" ca="1" si="16"/>
        <v>123.76621848415536</v>
      </c>
      <c r="N179" s="18">
        <f t="shared" ca="1" si="15"/>
        <v>0</v>
      </c>
    </row>
    <row r="180" spans="10:14" x14ac:dyDescent="0.25">
      <c r="J180" s="16">
        <f t="shared" ca="1" si="12"/>
        <v>11.502130951923364</v>
      </c>
      <c r="K180" s="16">
        <f t="shared" ca="1" si="13"/>
        <v>39.410505232062896</v>
      </c>
      <c r="L180" s="17">
        <f t="shared" si="14"/>
        <v>0.90476190476190477</v>
      </c>
      <c r="M180" s="16">
        <f t="shared" ca="1" si="16"/>
        <v>410.13290710249134</v>
      </c>
      <c r="N180" s="18">
        <f t="shared" ca="1" si="15"/>
        <v>1</v>
      </c>
    </row>
    <row r="181" spans="10:14" x14ac:dyDescent="0.25">
      <c r="J181" s="16">
        <f t="shared" ca="1" si="12"/>
        <v>8.9718109347806667</v>
      </c>
      <c r="K181" s="16">
        <f t="shared" ca="1" si="13"/>
        <v>38.788311185785645</v>
      </c>
      <c r="L181" s="17">
        <f t="shared" si="14"/>
        <v>0.90476190476190477</v>
      </c>
      <c r="M181" s="16">
        <f t="shared" ca="1" si="16"/>
        <v>314.85840449180148</v>
      </c>
      <c r="N181" s="18">
        <f t="shared" ca="1" si="15"/>
        <v>1</v>
      </c>
    </row>
    <row r="182" spans="10:14" x14ac:dyDescent="0.25">
      <c r="J182" s="16">
        <f t="shared" ca="1" si="12"/>
        <v>6.1831403628152541</v>
      </c>
      <c r="K182" s="16">
        <f t="shared" ca="1" si="13"/>
        <v>40.190408383343538</v>
      </c>
      <c r="L182" s="17">
        <f t="shared" si="14"/>
        <v>0.90476190476190477</v>
      </c>
      <c r="M182" s="16">
        <f t="shared" ca="1" si="16"/>
        <v>224.83598996135808</v>
      </c>
      <c r="N182" s="18">
        <f t="shared" ca="1" si="15"/>
        <v>0</v>
      </c>
    </row>
    <row r="183" spans="10:14" x14ac:dyDescent="0.25">
      <c r="J183" s="16">
        <f t="shared" ca="1" si="12"/>
        <v>3.7897221858220718</v>
      </c>
      <c r="K183" s="16">
        <f t="shared" ca="1" si="13"/>
        <v>44.358793354165101</v>
      </c>
      <c r="L183" s="17">
        <f t="shared" si="14"/>
        <v>0.90476190476190477</v>
      </c>
      <c r="M183" s="16">
        <f t="shared" ca="1" si="16"/>
        <v>152.0972649000451</v>
      </c>
      <c r="N183" s="18">
        <f t="shared" ca="1" si="15"/>
        <v>0</v>
      </c>
    </row>
    <row r="184" spans="10:14" x14ac:dyDescent="0.25">
      <c r="J184" s="16">
        <f t="shared" ca="1" si="12"/>
        <v>7.4406821064801507</v>
      </c>
      <c r="K184" s="16">
        <f t="shared" ca="1" si="13"/>
        <v>26.40826276225685</v>
      </c>
      <c r="L184" s="17">
        <f t="shared" si="14"/>
        <v>0.90476190476190477</v>
      </c>
      <c r="M184" s="16">
        <f t="shared" ca="1" si="16"/>
        <v>177.78163217946008</v>
      </c>
      <c r="N184" s="18">
        <f t="shared" ca="1" si="15"/>
        <v>0</v>
      </c>
    </row>
    <row r="185" spans="10:14" x14ac:dyDescent="0.25">
      <c r="J185" s="16">
        <f t="shared" ca="1" si="12"/>
        <v>7.9223381607125871</v>
      </c>
      <c r="K185" s="16">
        <f t="shared" ca="1" si="13"/>
        <v>34.454341257910762</v>
      </c>
      <c r="L185" s="17">
        <f t="shared" si="14"/>
        <v>0.90476190476190477</v>
      </c>
      <c r="M185" s="16">
        <f t="shared" ca="1" si="16"/>
        <v>246.96285278311669</v>
      </c>
      <c r="N185" s="18">
        <f t="shared" ca="1" si="15"/>
        <v>1</v>
      </c>
    </row>
    <row r="186" spans="10:14" x14ac:dyDescent="0.25">
      <c r="J186" s="16">
        <f t="shared" ca="1" si="12"/>
        <v>6.9596805116419205</v>
      </c>
      <c r="K186" s="16">
        <f t="shared" ca="1" si="13"/>
        <v>28.577218085728568</v>
      </c>
      <c r="L186" s="17">
        <f t="shared" si="14"/>
        <v>0.90476190476190477</v>
      </c>
      <c r="M186" s="16">
        <f t="shared" ca="1" si="16"/>
        <v>179.94656418931129</v>
      </c>
      <c r="N186" s="18">
        <f t="shared" ca="1" si="15"/>
        <v>0</v>
      </c>
    </row>
    <row r="187" spans="10:14" x14ac:dyDescent="0.25">
      <c r="J187" s="16">
        <f t="shared" ca="1" si="12"/>
        <v>5.5712520972236925</v>
      </c>
      <c r="K187" s="16">
        <f t="shared" ca="1" si="13"/>
        <v>39.158117794027021</v>
      </c>
      <c r="L187" s="17">
        <f t="shared" si="14"/>
        <v>0.90476190476190477</v>
      </c>
      <c r="M187" s="16">
        <f t="shared" ca="1" si="16"/>
        <v>197.38262722775252</v>
      </c>
      <c r="N187" s="18">
        <f t="shared" ca="1" si="15"/>
        <v>0</v>
      </c>
    </row>
    <row r="188" spans="10:14" x14ac:dyDescent="0.25">
      <c r="J188" s="16">
        <f t="shared" ca="1" si="12"/>
        <v>9.3068153310618431</v>
      </c>
      <c r="K188" s="16">
        <f t="shared" ca="1" si="13"/>
        <v>34.867037143996228</v>
      </c>
      <c r="L188" s="17">
        <f t="shared" si="14"/>
        <v>0.90476190476190477</v>
      </c>
      <c r="M188" s="16">
        <f t="shared" ca="1" si="16"/>
        <v>293.59621147468999</v>
      </c>
      <c r="N188" s="18">
        <f t="shared" ca="1" si="15"/>
        <v>1</v>
      </c>
    </row>
    <row r="189" spans="10:14" x14ac:dyDescent="0.25">
      <c r="J189" s="16">
        <f t="shared" ca="1" si="12"/>
        <v>8.1651896833660818</v>
      </c>
      <c r="K189" s="16">
        <f t="shared" ca="1" si="13"/>
        <v>25.698865075005958</v>
      </c>
      <c r="L189" s="17">
        <f t="shared" si="14"/>
        <v>0.90476190476190477</v>
      </c>
      <c r="M189" s="16">
        <f t="shared" ca="1" si="16"/>
        <v>189.85171674802172</v>
      </c>
      <c r="N189" s="18">
        <f t="shared" ca="1" si="15"/>
        <v>0</v>
      </c>
    </row>
    <row r="190" spans="10:14" x14ac:dyDescent="0.25">
      <c r="J190" s="16">
        <f t="shared" ca="1" si="12"/>
        <v>8.8996394892047821</v>
      </c>
      <c r="K190" s="16">
        <f t="shared" ca="1" si="13"/>
        <v>37.237429954339817</v>
      </c>
      <c r="L190" s="17">
        <f t="shared" si="14"/>
        <v>0.90476190476190477</v>
      </c>
      <c r="M190" s="16">
        <f t="shared" ca="1" si="16"/>
        <v>299.83782570784064</v>
      </c>
      <c r="N190" s="18">
        <f t="shared" ca="1" si="15"/>
        <v>1</v>
      </c>
    </row>
    <row r="191" spans="10:14" x14ac:dyDescent="0.25">
      <c r="J191" s="16">
        <f t="shared" ca="1" si="12"/>
        <v>7.8944660989645383</v>
      </c>
      <c r="K191" s="16">
        <f t="shared" ca="1" si="13"/>
        <v>26.748890133544371</v>
      </c>
      <c r="L191" s="17">
        <f t="shared" si="14"/>
        <v>0.90476190476190477</v>
      </c>
      <c r="M191" s="16">
        <f t="shared" ca="1" si="16"/>
        <v>191.05694859712708</v>
      </c>
      <c r="N191" s="18">
        <f t="shared" ca="1" si="15"/>
        <v>0</v>
      </c>
    </row>
    <row r="192" spans="10:14" x14ac:dyDescent="0.25">
      <c r="J192" s="16">
        <f t="shared" ca="1" si="12"/>
        <v>9.543563137161577</v>
      </c>
      <c r="K192" s="16">
        <f t="shared" ca="1" si="13"/>
        <v>23.36278966658389</v>
      </c>
      <c r="L192" s="17">
        <f t="shared" si="14"/>
        <v>0.90476190476190477</v>
      </c>
      <c r="M192" s="16">
        <f t="shared" ca="1" si="16"/>
        <v>201.72956698200568</v>
      </c>
      <c r="N192" s="18">
        <f t="shared" ca="1" si="15"/>
        <v>0</v>
      </c>
    </row>
    <row r="193" spans="10:14" x14ac:dyDescent="0.25">
      <c r="J193" s="16">
        <f t="shared" ca="1" si="12"/>
        <v>7.1285548051077319</v>
      </c>
      <c r="K193" s="16">
        <f t="shared" ca="1" si="13"/>
        <v>23.508636156011463</v>
      </c>
      <c r="L193" s="17">
        <f t="shared" si="14"/>
        <v>0.90476190476190477</v>
      </c>
      <c r="M193" s="16">
        <f t="shared" ca="1" si="16"/>
        <v>151.62235349513489</v>
      </c>
      <c r="N193" s="18">
        <f t="shared" ca="1" si="15"/>
        <v>0</v>
      </c>
    </row>
    <row r="194" spans="10:14" x14ac:dyDescent="0.25">
      <c r="J194" s="16">
        <f t="shared" ca="1" si="12"/>
        <v>11.424781026199005</v>
      </c>
      <c r="K194" s="16">
        <f t="shared" ca="1" si="13"/>
        <v>24.654875665211922</v>
      </c>
      <c r="L194" s="17">
        <f t="shared" si="14"/>
        <v>0.90476190476190477</v>
      </c>
      <c r="M194" s="16">
        <f t="shared" ca="1" si="16"/>
        <v>254.85021706480791</v>
      </c>
      <c r="N194" s="18">
        <f t="shared" ca="1" si="15"/>
        <v>1</v>
      </c>
    </row>
    <row r="195" spans="10:14" x14ac:dyDescent="0.25">
      <c r="J195" s="16">
        <f t="shared" ca="1" si="12"/>
        <v>9.4714744683607357</v>
      </c>
      <c r="K195" s="16">
        <f t="shared" ca="1" si="13"/>
        <v>44.705809147438366</v>
      </c>
      <c r="L195" s="17">
        <f t="shared" si="14"/>
        <v>0.90476190476190477</v>
      </c>
      <c r="M195" s="16">
        <f t="shared" ca="1" si="16"/>
        <v>383.10326993428743</v>
      </c>
      <c r="N195" s="18">
        <f t="shared" ca="1" si="15"/>
        <v>1</v>
      </c>
    </row>
    <row r="196" spans="10:14" x14ac:dyDescent="0.25">
      <c r="J196" s="16">
        <f t="shared" ref="J196:J259" ca="1" si="17">$D$2*(-LN(1-RAND()))^(1/$D$3)</f>
        <v>9.1176143048241496</v>
      </c>
      <c r="K196" s="16">
        <f t="shared" ref="K196:K259" ca="1" si="18">RAND()*($H$3-$H$2)+$H$2</f>
        <v>29.303877957933736</v>
      </c>
      <c r="L196" s="17">
        <f t="shared" ref="L196:L259" si="19">$D$22</f>
        <v>0.90476190476190477</v>
      </c>
      <c r="M196" s="16">
        <f t="shared" ca="1" si="16"/>
        <v>241.73560382216556</v>
      </c>
      <c r="N196" s="18">
        <f t="shared" ref="N196:N259" ca="1" si="20">IF(M196&gt;$R$2,1,0)</f>
        <v>1</v>
      </c>
    </row>
    <row r="197" spans="10:14" x14ac:dyDescent="0.25">
      <c r="J197" s="16">
        <f t="shared" ca="1" si="17"/>
        <v>10.079250373798114</v>
      </c>
      <c r="K197" s="16">
        <f t="shared" ca="1" si="18"/>
        <v>27.616476796801578</v>
      </c>
      <c r="L197" s="17">
        <f t="shared" si="19"/>
        <v>0.90476190476190477</v>
      </c>
      <c r="M197" s="16">
        <f t="shared" ca="1" si="16"/>
        <v>251.84353797456362</v>
      </c>
      <c r="N197" s="18">
        <f t="shared" ca="1" si="20"/>
        <v>1</v>
      </c>
    </row>
    <row r="198" spans="10:14" x14ac:dyDescent="0.25">
      <c r="J198" s="16">
        <f t="shared" ca="1" si="17"/>
        <v>4.6307107564671233</v>
      </c>
      <c r="K198" s="16">
        <f t="shared" ca="1" si="18"/>
        <v>42.135849025572007</v>
      </c>
      <c r="L198" s="17">
        <f t="shared" si="19"/>
        <v>0.90476190476190477</v>
      </c>
      <c r="M198" s="16">
        <f t="shared" ca="1" si="16"/>
        <v>176.53617414267762</v>
      </c>
      <c r="N198" s="18">
        <f t="shared" ca="1" si="20"/>
        <v>0</v>
      </c>
    </row>
    <row r="199" spans="10:14" x14ac:dyDescent="0.25">
      <c r="J199" s="16">
        <f t="shared" ca="1" si="17"/>
        <v>7.5966609283751723</v>
      </c>
      <c r="K199" s="16">
        <f t="shared" ca="1" si="18"/>
        <v>23.769876256227768</v>
      </c>
      <c r="L199" s="17">
        <f t="shared" si="19"/>
        <v>0.90476190476190477</v>
      </c>
      <c r="M199" s="16">
        <f t="shared" ca="1" si="16"/>
        <v>163.37438639676029</v>
      </c>
      <c r="N199" s="18">
        <f t="shared" ca="1" si="20"/>
        <v>0</v>
      </c>
    </row>
    <row r="200" spans="10:14" x14ac:dyDescent="0.25">
      <c r="J200" s="16">
        <f t="shared" ca="1" si="17"/>
        <v>8.3061322989485458</v>
      </c>
      <c r="K200" s="16">
        <f t="shared" ca="1" si="18"/>
        <v>38.518238426810903</v>
      </c>
      <c r="L200" s="17">
        <f t="shared" si="19"/>
        <v>0.90476190476190477</v>
      </c>
      <c r="M200" s="16">
        <f t="shared" ca="1" si="16"/>
        <v>289.46733817215079</v>
      </c>
      <c r="N200" s="18">
        <f t="shared" ca="1" si="20"/>
        <v>1</v>
      </c>
    </row>
    <row r="201" spans="10:14" x14ac:dyDescent="0.25">
      <c r="J201" s="16">
        <f t="shared" ca="1" si="17"/>
        <v>12.38773495768069</v>
      </c>
      <c r="K201" s="16">
        <f t="shared" ca="1" si="18"/>
        <v>40.878962779179922</v>
      </c>
      <c r="L201" s="17">
        <f t="shared" si="19"/>
        <v>0.90476190476190477</v>
      </c>
      <c r="M201" s="16">
        <f t="shared" ca="1" si="16"/>
        <v>458.16939851495823</v>
      </c>
      <c r="N201" s="18">
        <f t="shared" ca="1" si="20"/>
        <v>1</v>
      </c>
    </row>
    <row r="202" spans="10:14" x14ac:dyDescent="0.25">
      <c r="J202" s="16">
        <f t="shared" ca="1" si="17"/>
        <v>13.847602694315521</v>
      </c>
      <c r="K202" s="16">
        <f t="shared" ca="1" si="18"/>
        <v>34.146176438462419</v>
      </c>
      <c r="L202" s="17">
        <f t="shared" si="19"/>
        <v>0.90476190476190477</v>
      </c>
      <c r="M202" s="16">
        <f t="shared" ca="1" si="16"/>
        <v>427.81004819746101</v>
      </c>
      <c r="N202" s="18">
        <f t="shared" ca="1" si="20"/>
        <v>1</v>
      </c>
    </row>
    <row r="203" spans="10:14" x14ac:dyDescent="0.25">
      <c r="J203" s="16">
        <f t="shared" ca="1" si="17"/>
        <v>5.9901070601679987</v>
      </c>
      <c r="K203" s="16">
        <f t="shared" ca="1" si="18"/>
        <v>35.390346157053969</v>
      </c>
      <c r="L203" s="17">
        <f t="shared" si="19"/>
        <v>0.90476190476190477</v>
      </c>
      <c r="M203" s="16">
        <f t="shared" ca="1" si="16"/>
        <v>191.80225167457186</v>
      </c>
      <c r="N203" s="18">
        <f t="shared" ca="1" si="20"/>
        <v>0</v>
      </c>
    </row>
    <row r="204" spans="10:14" x14ac:dyDescent="0.25">
      <c r="J204" s="16">
        <f t="shared" ca="1" si="17"/>
        <v>4.0531061600362772</v>
      </c>
      <c r="K204" s="16">
        <f t="shared" ca="1" si="18"/>
        <v>43.945396495375036</v>
      </c>
      <c r="L204" s="17">
        <f t="shared" si="19"/>
        <v>0.90476190476190477</v>
      </c>
      <c r="M204" s="16">
        <f t="shared" ca="1" si="16"/>
        <v>161.15198988438962</v>
      </c>
      <c r="N204" s="18">
        <f t="shared" ca="1" si="20"/>
        <v>0</v>
      </c>
    </row>
    <row r="205" spans="10:14" x14ac:dyDescent="0.25">
      <c r="J205" s="16">
        <f t="shared" ca="1" si="17"/>
        <v>9.7611893940578174</v>
      </c>
      <c r="K205" s="16">
        <f t="shared" ca="1" si="18"/>
        <v>43.894765657203138</v>
      </c>
      <c r="L205" s="17">
        <f t="shared" si="19"/>
        <v>0.90476190476190477</v>
      </c>
      <c r="M205" s="16">
        <f t="shared" ca="1" si="16"/>
        <v>387.65891898891175</v>
      </c>
      <c r="N205" s="18">
        <f t="shared" ca="1" si="20"/>
        <v>1</v>
      </c>
    </row>
    <row r="206" spans="10:14" x14ac:dyDescent="0.25">
      <c r="J206" s="16">
        <f t="shared" ca="1" si="17"/>
        <v>8.63396538010565</v>
      </c>
      <c r="K206" s="16">
        <f t="shared" ca="1" si="18"/>
        <v>45.811116551215072</v>
      </c>
      <c r="L206" s="17">
        <f t="shared" si="19"/>
        <v>0.90476190476190477</v>
      </c>
      <c r="M206" s="16">
        <f t="shared" ca="1" si="16"/>
        <v>357.86191867696863</v>
      </c>
      <c r="N206" s="18">
        <f t="shared" ca="1" si="20"/>
        <v>1</v>
      </c>
    </row>
    <row r="207" spans="10:14" x14ac:dyDescent="0.25">
      <c r="J207" s="16">
        <f t="shared" ca="1" si="17"/>
        <v>9.362731268785291</v>
      </c>
      <c r="K207" s="16">
        <f t="shared" ca="1" si="18"/>
        <v>27.383460428940133</v>
      </c>
      <c r="L207" s="17">
        <f t="shared" si="19"/>
        <v>0.90476190476190477</v>
      </c>
      <c r="M207" s="16">
        <f t="shared" ca="1" si="16"/>
        <v>231.96645918600319</v>
      </c>
      <c r="N207" s="18">
        <f t="shared" ca="1" si="20"/>
        <v>0</v>
      </c>
    </row>
    <row r="208" spans="10:14" x14ac:dyDescent="0.25">
      <c r="J208" s="16">
        <f t="shared" ca="1" si="17"/>
        <v>9.0282988057858962</v>
      </c>
      <c r="K208" s="16">
        <f t="shared" ca="1" si="18"/>
        <v>43.137779471979769</v>
      </c>
      <c r="L208" s="17">
        <f t="shared" si="19"/>
        <v>0.90476190476190477</v>
      </c>
      <c r="M208" s="16">
        <f t="shared" ca="1" si="16"/>
        <v>352.36926166340362</v>
      </c>
      <c r="N208" s="18">
        <f t="shared" ca="1" si="20"/>
        <v>1</v>
      </c>
    </row>
    <row r="209" spans="10:14" x14ac:dyDescent="0.25">
      <c r="J209" s="16">
        <f t="shared" ca="1" si="17"/>
        <v>10.979476672120599</v>
      </c>
      <c r="K209" s="16">
        <f t="shared" ca="1" si="18"/>
        <v>27.02183027922198</v>
      </c>
      <c r="L209" s="17">
        <f t="shared" si="19"/>
        <v>0.90476190476190477</v>
      </c>
      <c r="M209" s="16">
        <f t="shared" ca="1" si="16"/>
        <v>268.42978802788934</v>
      </c>
      <c r="N209" s="18">
        <f t="shared" ca="1" si="20"/>
        <v>1</v>
      </c>
    </row>
    <row r="210" spans="10:14" x14ac:dyDescent="0.25">
      <c r="J210" s="16">
        <f t="shared" ca="1" si="17"/>
        <v>10.386962853682256</v>
      </c>
      <c r="K210" s="16">
        <f t="shared" ca="1" si="18"/>
        <v>31.044358492537715</v>
      </c>
      <c r="L210" s="17">
        <f t="shared" si="19"/>
        <v>0.90476190476190477</v>
      </c>
      <c r="M210" s="16">
        <f t="shared" ca="1" si="16"/>
        <v>291.74644624234793</v>
      </c>
      <c r="N210" s="18">
        <f t="shared" ca="1" si="20"/>
        <v>1</v>
      </c>
    </row>
    <row r="211" spans="10:14" x14ac:dyDescent="0.25">
      <c r="J211" s="16">
        <f t="shared" ca="1" si="17"/>
        <v>6.9864216064341296</v>
      </c>
      <c r="K211" s="16">
        <f t="shared" ca="1" si="18"/>
        <v>26.503668580370189</v>
      </c>
      <c r="L211" s="17">
        <f t="shared" si="19"/>
        <v>0.90476190476190477</v>
      </c>
      <c r="M211" s="16">
        <f t="shared" ref="M211:M274" ca="1" si="21">J211*K211*L211</f>
        <v>167.53096445588977</v>
      </c>
      <c r="N211" s="18">
        <f t="shared" ca="1" si="20"/>
        <v>0</v>
      </c>
    </row>
    <row r="212" spans="10:14" x14ac:dyDescent="0.25">
      <c r="J212" s="16">
        <f t="shared" ca="1" si="17"/>
        <v>4.7069772423926013</v>
      </c>
      <c r="K212" s="16">
        <f t="shared" ca="1" si="18"/>
        <v>21.679032493983286</v>
      </c>
      <c r="L212" s="17">
        <f t="shared" si="19"/>
        <v>0.90476190476190477</v>
      </c>
      <c r="M212" s="16">
        <f t="shared" ca="1" si="21"/>
        <v>92.324359006624377</v>
      </c>
      <c r="N212" s="18">
        <f t="shared" ca="1" si="20"/>
        <v>0</v>
      </c>
    </row>
    <row r="213" spans="10:14" x14ac:dyDescent="0.25">
      <c r="J213" s="16">
        <f t="shared" ca="1" si="17"/>
        <v>12.805177229179044</v>
      </c>
      <c r="K213" s="16">
        <f t="shared" ca="1" si="18"/>
        <v>21.569149359566254</v>
      </c>
      <c r="L213" s="17">
        <f t="shared" si="19"/>
        <v>0.90476190476190477</v>
      </c>
      <c r="M213" s="16">
        <f t="shared" ca="1" si="21"/>
        <v>249.89232497170053</v>
      </c>
      <c r="N213" s="18">
        <f t="shared" ca="1" si="20"/>
        <v>1</v>
      </c>
    </row>
    <row r="214" spans="10:14" x14ac:dyDescent="0.25">
      <c r="J214" s="16">
        <f t="shared" ca="1" si="17"/>
        <v>6.6949437979047426</v>
      </c>
      <c r="K214" s="16">
        <f t="shared" ca="1" si="18"/>
        <v>38.288985448356684</v>
      </c>
      <c r="L214" s="17">
        <f t="shared" si="19"/>
        <v>0.90476190476190477</v>
      </c>
      <c r="M214" s="16">
        <f t="shared" ca="1" si="21"/>
        <v>231.92902416453666</v>
      </c>
      <c r="N214" s="18">
        <f t="shared" ca="1" si="20"/>
        <v>0</v>
      </c>
    </row>
    <row r="215" spans="10:14" x14ac:dyDescent="0.25">
      <c r="J215" s="16">
        <f t="shared" ca="1" si="17"/>
        <v>2.387932878341712</v>
      </c>
      <c r="K215" s="16">
        <f t="shared" ca="1" si="18"/>
        <v>23.908757920695987</v>
      </c>
      <c r="L215" s="17">
        <f t="shared" si="19"/>
        <v>0.90476190476190477</v>
      </c>
      <c r="M215" s="16">
        <f t="shared" ca="1" si="21"/>
        <v>51.655127298272035</v>
      </c>
      <c r="N215" s="18">
        <f t="shared" ca="1" si="20"/>
        <v>0</v>
      </c>
    </row>
    <row r="216" spans="10:14" x14ac:dyDescent="0.25">
      <c r="J216" s="16">
        <f t="shared" ca="1" si="17"/>
        <v>4.0619674989558403</v>
      </c>
      <c r="K216" s="16">
        <f t="shared" ca="1" si="18"/>
        <v>29.346161219556247</v>
      </c>
      <c r="L216" s="17">
        <f t="shared" si="19"/>
        <v>0.90476190476190477</v>
      </c>
      <c r="M216" s="16">
        <f t="shared" ca="1" si="21"/>
        <v>107.85047184600759</v>
      </c>
      <c r="N216" s="18">
        <f t="shared" ca="1" si="20"/>
        <v>0</v>
      </c>
    </row>
    <row r="217" spans="10:14" x14ac:dyDescent="0.25">
      <c r="J217" s="16">
        <f t="shared" ca="1" si="17"/>
        <v>8.1757906528878692</v>
      </c>
      <c r="K217" s="16">
        <f t="shared" ca="1" si="18"/>
        <v>22.992924143787331</v>
      </c>
      <c r="L217" s="17">
        <f t="shared" si="19"/>
        <v>0.90476190476190477</v>
      </c>
      <c r="M217" s="16">
        <f t="shared" ca="1" si="21"/>
        <v>170.0819691261614</v>
      </c>
      <c r="N217" s="18">
        <f t="shared" ca="1" si="20"/>
        <v>0</v>
      </c>
    </row>
    <row r="218" spans="10:14" x14ac:dyDescent="0.25">
      <c r="J218" s="16">
        <f t="shared" ca="1" si="17"/>
        <v>9.73016230614666</v>
      </c>
      <c r="K218" s="16">
        <f t="shared" ca="1" si="18"/>
        <v>32.838245226934603</v>
      </c>
      <c r="L218" s="17">
        <f t="shared" si="19"/>
        <v>0.90476190476190477</v>
      </c>
      <c r="M218" s="16">
        <f t="shared" ca="1" si="21"/>
        <v>289.09084105882243</v>
      </c>
      <c r="N218" s="18">
        <f t="shared" ca="1" si="20"/>
        <v>1</v>
      </c>
    </row>
    <row r="219" spans="10:14" x14ac:dyDescent="0.25">
      <c r="J219" s="16">
        <f t="shared" ca="1" si="17"/>
        <v>13.262517081290897</v>
      </c>
      <c r="K219" s="16">
        <f t="shared" ca="1" si="18"/>
        <v>28.824199773793794</v>
      </c>
      <c r="L219" s="17">
        <f t="shared" si="19"/>
        <v>0.90476190476190477</v>
      </c>
      <c r="M219" s="16">
        <f t="shared" ca="1" si="21"/>
        <v>345.87368548738795</v>
      </c>
      <c r="N219" s="18">
        <f t="shared" ca="1" si="20"/>
        <v>1</v>
      </c>
    </row>
    <row r="220" spans="10:14" x14ac:dyDescent="0.25">
      <c r="J220" s="16">
        <f t="shared" ca="1" si="17"/>
        <v>6.6991066950685294</v>
      </c>
      <c r="K220" s="16">
        <f t="shared" ca="1" si="18"/>
        <v>43.160300584028718</v>
      </c>
      <c r="L220" s="17">
        <f t="shared" si="19"/>
        <v>0.90476190476190477</v>
      </c>
      <c r="M220" s="16">
        <f t="shared" ca="1" si="21"/>
        <v>261.59874826043341</v>
      </c>
      <c r="N220" s="18">
        <f t="shared" ca="1" si="20"/>
        <v>1</v>
      </c>
    </row>
    <row r="221" spans="10:14" x14ac:dyDescent="0.25">
      <c r="J221" s="16">
        <f t="shared" ca="1" si="17"/>
        <v>3.3325657710548753</v>
      </c>
      <c r="K221" s="16">
        <f t="shared" ca="1" si="18"/>
        <v>42.13551903780558</v>
      </c>
      <c r="L221" s="17">
        <f t="shared" si="19"/>
        <v>0.90476190476190477</v>
      </c>
      <c r="M221" s="16">
        <f t="shared" ca="1" si="21"/>
        <v>127.04611339663889</v>
      </c>
      <c r="N221" s="18">
        <f t="shared" ca="1" si="20"/>
        <v>0</v>
      </c>
    </row>
    <row r="222" spans="10:14" x14ac:dyDescent="0.25">
      <c r="J222" s="16">
        <f t="shared" ca="1" si="17"/>
        <v>10.931511309644126</v>
      </c>
      <c r="K222" s="16">
        <f t="shared" ca="1" si="18"/>
        <v>32.814266211639776</v>
      </c>
      <c r="L222" s="17">
        <f t="shared" si="19"/>
        <v>0.90476190476190477</v>
      </c>
      <c r="M222" s="16">
        <f t="shared" ca="1" si="21"/>
        <v>324.54671057114541</v>
      </c>
      <c r="N222" s="18">
        <f t="shared" ca="1" si="20"/>
        <v>1</v>
      </c>
    </row>
    <row r="223" spans="10:14" x14ac:dyDescent="0.25">
      <c r="J223" s="16">
        <f t="shared" ca="1" si="17"/>
        <v>10.427669816652521</v>
      </c>
      <c r="K223" s="16">
        <f t="shared" ca="1" si="18"/>
        <v>31.476830308718572</v>
      </c>
      <c r="L223" s="17">
        <f t="shared" si="19"/>
        <v>0.90476190476190477</v>
      </c>
      <c r="M223" s="16">
        <f t="shared" ca="1" si="21"/>
        <v>296.96999396896382</v>
      </c>
      <c r="N223" s="18">
        <f t="shared" ca="1" si="20"/>
        <v>1</v>
      </c>
    </row>
    <row r="224" spans="10:14" x14ac:dyDescent="0.25">
      <c r="J224" s="16">
        <f t="shared" ca="1" si="17"/>
        <v>8.6337369043768213</v>
      </c>
      <c r="K224" s="16">
        <f t="shared" ca="1" si="18"/>
        <v>35.123109352988088</v>
      </c>
      <c r="L224" s="17">
        <f t="shared" si="19"/>
        <v>0.90476190476190477</v>
      </c>
      <c r="M224" s="16">
        <f t="shared" ca="1" si="21"/>
        <v>274.36333442522681</v>
      </c>
      <c r="N224" s="18">
        <f t="shared" ca="1" si="20"/>
        <v>1</v>
      </c>
    </row>
    <row r="225" spans="10:14" x14ac:dyDescent="0.25">
      <c r="J225" s="16">
        <f t="shared" ca="1" si="17"/>
        <v>3.9031238801198347</v>
      </c>
      <c r="K225" s="16">
        <f t="shared" ca="1" si="18"/>
        <v>30.983296336064988</v>
      </c>
      <c r="L225" s="17">
        <f t="shared" si="19"/>
        <v>0.90476190476190477</v>
      </c>
      <c r="M225" s="16">
        <f t="shared" ca="1" si="21"/>
        <v>109.41434440325563</v>
      </c>
      <c r="N225" s="18">
        <f t="shared" ca="1" si="20"/>
        <v>0</v>
      </c>
    </row>
    <row r="226" spans="10:14" x14ac:dyDescent="0.25">
      <c r="J226" s="16">
        <f t="shared" ca="1" si="17"/>
        <v>9.602592635940292</v>
      </c>
      <c r="K226" s="16">
        <f t="shared" ca="1" si="18"/>
        <v>39.4642113679499</v>
      </c>
      <c r="L226" s="17">
        <f t="shared" si="19"/>
        <v>0.90476190476190477</v>
      </c>
      <c r="M226" s="16">
        <f t="shared" ca="1" si="21"/>
        <v>342.86743637315578</v>
      </c>
      <c r="N226" s="18">
        <f t="shared" ca="1" si="20"/>
        <v>1</v>
      </c>
    </row>
    <row r="227" spans="10:14" x14ac:dyDescent="0.25">
      <c r="J227" s="16">
        <f t="shared" ca="1" si="17"/>
        <v>2.9169373398322547</v>
      </c>
      <c r="K227" s="16">
        <f t="shared" ca="1" si="18"/>
        <v>43.719854501959077</v>
      </c>
      <c r="L227" s="17">
        <f t="shared" si="19"/>
        <v>0.90476190476190477</v>
      </c>
      <c r="M227" s="16">
        <f t="shared" ca="1" si="21"/>
        <v>115.38254503272177</v>
      </c>
      <c r="N227" s="18">
        <f t="shared" ca="1" si="20"/>
        <v>0</v>
      </c>
    </row>
    <row r="228" spans="10:14" x14ac:dyDescent="0.25">
      <c r="J228" s="16">
        <f t="shared" ca="1" si="17"/>
        <v>6.1216856596929228</v>
      </c>
      <c r="K228" s="16">
        <f t="shared" ca="1" si="18"/>
        <v>33.144459768449636</v>
      </c>
      <c r="L228" s="17">
        <f t="shared" si="19"/>
        <v>0.90476190476190477</v>
      </c>
      <c r="M228" s="16">
        <f t="shared" ca="1" si="21"/>
        <v>183.57615796156932</v>
      </c>
      <c r="N228" s="18">
        <f t="shared" ca="1" si="20"/>
        <v>0</v>
      </c>
    </row>
    <row r="229" spans="10:14" x14ac:dyDescent="0.25">
      <c r="J229" s="16">
        <f t="shared" ca="1" si="17"/>
        <v>12.58734793193249</v>
      </c>
      <c r="K229" s="16">
        <f t="shared" ca="1" si="18"/>
        <v>44.832816804766551</v>
      </c>
      <c r="L229" s="17">
        <f t="shared" si="19"/>
        <v>0.90476190476190477</v>
      </c>
      <c r="M229" s="16">
        <f t="shared" ca="1" si="21"/>
        <v>510.58090542445439</v>
      </c>
      <c r="N229" s="18">
        <f t="shared" ca="1" si="20"/>
        <v>1</v>
      </c>
    </row>
    <row r="230" spans="10:14" x14ac:dyDescent="0.25">
      <c r="J230" s="16">
        <f t="shared" ca="1" si="17"/>
        <v>11.531283366669765</v>
      </c>
      <c r="K230" s="16">
        <f t="shared" ca="1" si="18"/>
        <v>24.301462146077014</v>
      </c>
      <c r="L230" s="17">
        <f t="shared" si="19"/>
        <v>0.90476190476190477</v>
      </c>
      <c r="M230" s="16">
        <f t="shared" ca="1" si="21"/>
        <v>253.53875611359251</v>
      </c>
      <c r="N230" s="18">
        <f t="shared" ca="1" si="20"/>
        <v>1</v>
      </c>
    </row>
    <row r="231" spans="10:14" x14ac:dyDescent="0.25">
      <c r="J231" s="16">
        <f t="shared" ca="1" si="17"/>
        <v>9.5509436183859009</v>
      </c>
      <c r="K231" s="16">
        <f t="shared" ca="1" si="18"/>
        <v>26.09825176184804</v>
      </c>
      <c r="L231" s="17">
        <f t="shared" si="19"/>
        <v>0.90476190476190477</v>
      </c>
      <c r="M231" s="16">
        <f t="shared" ca="1" si="21"/>
        <v>225.52360434291293</v>
      </c>
      <c r="N231" s="18">
        <f t="shared" ca="1" si="20"/>
        <v>0</v>
      </c>
    </row>
    <row r="232" spans="10:14" x14ac:dyDescent="0.25">
      <c r="J232" s="16">
        <f t="shared" ca="1" si="17"/>
        <v>11.13092739246655</v>
      </c>
      <c r="K232" s="16">
        <f t="shared" ca="1" si="18"/>
        <v>21.375049824790931</v>
      </c>
      <c r="L232" s="17">
        <f t="shared" si="19"/>
        <v>0.90476190476190477</v>
      </c>
      <c r="M232" s="16">
        <f t="shared" ca="1" si="21"/>
        <v>215.26468688533103</v>
      </c>
      <c r="N232" s="18">
        <f t="shared" ca="1" si="20"/>
        <v>0</v>
      </c>
    </row>
    <row r="233" spans="10:14" x14ac:dyDescent="0.25">
      <c r="J233" s="16">
        <f t="shared" ca="1" si="17"/>
        <v>8.0266646452232635</v>
      </c>
      <c r="K233" s="16">
        <f t="shared" ca="1" si="18"/>
        <v>36.817664721261607</v>
      </c>
      <c r="L233" s="17">
        <f t="shared" si="19"/>
        <v>0.90476190476190477</v>
      </c>
      <c r="M233" s="16">
        <f t="shared" ca="1" si="21"/>
        <v>267.37799557232631</v>
      </c>
      <c r="N233" s="18">
        <f t="shared" ca="1" si="20"/>
        <v>1</v>
      </c>
    </row>
    <row r="234" spans="10:14" x14ac:dyDescent="0.25">
      <c r="J234" s="16">
        <f t="shared" ca="1" si="17"/>
        <v>3.3667384240725422</v>
      </c>
      <c r="K234" s="16">
        <f t="shared" ca="1" si="18"/>
        <v>35.64990839346811</v>
      </c>
      <c r="L234" s="17">
        <f t="shared" si="19"/>
        <v>0.90476190476190477</v>
      </c>
      <c r="M234" s="16">
        <f t="shared" ca="1" si="21"/>
        <v>108.59306722172148</v>
      </c>
      <c r="N234" s="18">
        <f t="shared" ca="1" si="20"/>
        <v>0</v>
      </c>
    </row>
    <row r="235" spans="10:14" x14ac:dyDescent="0.25">
      <c r="J235" s="16">
        <f t="shared" ca="1" si="17"/>
        <v>11.878534640973593</v>
      </c>
      <c r="K235" s="16">
        <f t="shared" ca="1" si="18"/>
        <v>39.239929042796689</v>
      </c>
      <c r="L235" s="17">
        <f t="shared" si="19"/>
        <v>0.90476190476190477</v>
      </c>
      <c r="M235" s="16">
        <f t="shared" ca="1" si="21"/>
        <v>421.7211558304723</v>
      </c>
      <c r="N235" s="18">
        <f t="shared" ca="1" si="20"/>
        <v>1</v>
      </c>
    </row>
    <row r="236" spans="10:14" x14ac:dyDescent="0.25">
      <c r="J236" s="16">
        <f t="shared" ca="1" si="17"/>
        <v>8.9409880740736316</v>
      </c>
      <c r="K236" s="16">
        <f t="shared" ca="1" si="18"/>
        <v>39.876202230028881</v>
      </c>
      <c r="L236" s="17">
        <f t="shared" si="19"/>
        <v>0.90476190476190477</v>
      </c>
      <c r="M236" s="16">
        <f t="shared" ca="1" si="21"/>
        <v>322.57715823727119</v>
      </c>
      <c r="N236" s="18">
        <f t="shared" ca="1" si="20"/>
        <v>1</v>
      </c>
    </row>
    <row r="237" spans="10:14" x14ac:dyDescent="0.25">
      <c r="J237" s="16">
        <f t="shared" ca="1" si="17"/>
        <v>4.7551672276733212</v>
      </c>
      <c r="K237" s="16">
        <f t="shared" ca="1" si="18"/>
        <v>36.722821801560912</v>
      </c>
      <c r="L237" s="17">
        <f t="shared" si="19"/>
        <v>0.90476190476190477</v>
      </c>
      <c r="M237" s="16">
        <f t="shared" ca="1" si="21"/>
        <v>157.9923817157584</v>
      </c>
      <c r="N237" s="18">
        <f t="shared" ca="1" si="20"/>
        <v>0</v>
      </c>
    </row>
    <row r="238" spans="10:14" x14ac:dyDescent="0.25">
      <c r="J238" s="16">
        <f t="shared" ca="1" si="17"/>
        <v>10.247477387192903</v>
      </c>
      <c r="K238" s="16">
        <f t="shared" ca="1" si="18"/>
        <v>28.465251680615872</v>
      </c>
      <c r="L238" s="17">
        <f t="shared" si="19"/>
        <v>0.90476190476190477</v>
      </c>
      <c r="M238" s="16">
        <f t="shared" ca="1" si="21"/>
        <v>263.91635406854539</v>
      </c>
      <c r="N238" s="18">
        <f t="shared" ca="1" si="20"/>
        <v>1</v>
      </c>
    </row>
    <row r="239" spans="10:14" x14ac:dyDescent="0.25">
      <c r="J239" s="16">
        <f t="shared" ca="1" si="17"/>
        <v>3.4338206716842405</v>
      </c>
      <c r="K239" s="16">
        <f t="shared" ca="1" si="18"/>
        <v>25.92285087313974</v>
      </c>
      <c r="L239" s="17">
        <f t="shared" si="19"/>
        <v>0.90476190476190477</v>
      </c>
      <c r="M239" s="16">
        <f t="shared" ca="1" si="21"/>
        <v>80.536857273634624</v>
      </c>
      <c r="N239" s="18">
        <f t="shared" ca="1" si="20"/>
        <v>0</v>
      </c>
    </row>
    <row r="240" spans="10:14" x14ac:dyDescent="0.25">
      <c r="J240" s="16">
        <f t="shared" ca="1" si="17"/>
        <v>12.741004048776725</v>
      </c>
      <c r="K240" s="16">
        <f t="shared" ca="1" si="18"/>
        <v>21.240624340341824</v>
      </c>
      <c r="L240" s="17">
        <f t="shared" si="19"/>
        <v>0.90476190476190477</v>
      </c>
      <c r="M240" s="16">
        <f t="shared" ca="1" si="21"/>
        <v>244.85289207895107</v>
      </c>
      <c r="N240" s="18">
        <f t="shared" ca="1" si="20"/>
        <v>1</v>
      </c>
    </row>
    <row r="241" spans="10:14" x14ac:dyDescent="0.25">
      <c r="J241" s="16">
        <f t="shared" ca="1" si="17"/>
        <v>10.938988924623622</v>
      </c>
      <c r="K241" s="16">
        <f t="shared" ca="1" si="18"/>
        <v>32.972086875654476</v>
      </c>
      <c r="L241" s="17">
        <f t="shared" si="19"/>
        <v>0.90476190476190477</v>
      </c>
      <c r="M241" s="16">
        <f t="shared" ca="1" si="21"/>
        <v>326.33069380646344</v>
      </c>
      <c r="N241" s="18">
        <f t="shared" ca="1" si="20"/>
        <v>1</v>
      </c>
    </row>
    <row r="242" spans="10:14" x14ac:dyDescent="0.25">
      <c r="J242" s="16">
        <f t="shared" ca="1" si="17"/>
        <v>9.48266210496082</v>
      </c>
      <c r="K242" s="16">
        <f t="shared" ca="1" si="18"/>
        <v>31.350110959321732</v>
      </c>
      <c r="L242" s="17">
        <f t="shared" si="19"/>
        <v>0.90476190476190477</v>
      </c>
      <c r="M242" s="16">
        <f t="shared" ca="1" si="21"/>
        <v>268.96988925834592</v>
      </c>
      <c r="N242" s="18">
        <f t="shared" ca="1" si="20"/>
        <v>1</v>
      </c>
    </row>
    <row r="243" spans="10:14" x14ac:dyDescent="0.25">
      <c r="J243" s="16">
        <f t="shared" ca="1" si="17"/>
        <v>9.2919822878814529</v>
      </c>
      <c r="K243" s="16">
        <f t="shared" ca="1" si="18"/>
        <v>26.581831137112694</v>
      </c>
      <c r="L243" s="17">
        <f t="shared" si="19"/>
        <v>0.90476190476190477</v>
      </c>
      <c r="M243" s="16">
        <f t="shared" ca="1" si="21"/>
        <v>223.47429419069667</v>
      </c>
      <c r="N243" s="18">
        <f t="shared" ca="1" si="20"/>
        <v>0</v>
      </c>
    </row>
    <row r="244" spans="10:14" x14ac:dyDescent="0.25">
      <c r="J244" s="16">
        <f t="shared" ca="1" si="17"/>
        <v>3.2767351999485532</v>
      </c>
      <c r="K244" s="16">
        <f t="shared" ca="1" si="18"/>
        <v>28.536049125457616</v>
      </c>
      <c r="L244" s="17">
        <f t="shared" si="19"/>
        <v>0.90476190476190477</v>
      </c>
      <c r="M244" s="16">
        <f t="shared" ca="1" si="21"/>
        <v>84.599831242862564</v>
      </c>
      <c r="N244" s="18">
        <f t="shared" ca="1" si="20"/>
        <v>0</v>
      </c>
    </row>
    <row r="245" spans="10:14" x14ac:dyDescent="0.25">
      <c r="J245" s="16">
        <f t="shared" ca="1" si="17"/>
        <v>10.459689272111071</v>
      </c>
      <c r="K245" s="16">
        <f t="shared" ca="1" si="18"/>
        <v>42.632343116667052</v>
      </c>
      <c r="L245" s="17">
        <f t="shared" si="19"/>
        <v>0.90476190476190477</v>
      </c>
      <c r="M245" s="16">
        <f t="shared" ca="1" si="21"/>
        <v>403.45238937642148</v>
      </c>
      <c r="N245" s="18">
        <f t="shared" ca="1" si="20"/>
        <v>1</v>
      </c>
    </row>
    <row r="246" spans="10:14" x14ac:dyDescent="0.25">
      <c r="J246" s="16">
        <f t="shared" ca="1" si="17"/>
        <v>12.37618662379688</v>
      </c>
      <c r="K246" s="16">
        <f t="shared" ca="1" si="18"/>
        <v>30.727635389759527</v>
      </c>
      <c r="L246" s="17">
        <f t="shared" si="19"/>
        <v>0.90476190476190477</v>
      </c>
      <c r="M246" s="16">
        <f t="shared" ca="1" si="21"/>
        <v>344.07276436863521</v>
      </c>
      <c r="N246" s="18">
        <f t="shared" ca="1" si="20"/>
        <v>1</v>
      </c>
    </row>
    <row r="247" spans="10:14" x14ac:dyDescent="0.25">
      <c r="J247" s="16">
        <f t="shared" ca="1" si="17"/>
        <v>11.596206104450326</v>
      </c>
      <c r="K247" s="16">
        <f t="shared" ca="1" si="18"/>
        <v>36.183793910683491</v>
      </c>
      <c r="L247" s="17">
        <f t="shared" si="19"/>
        <v>0.90476190476190477</v>
      </c>
      <c r="M247" s="16">
        <f t="shared" ca="1" si="21"/>
        <v>379.63332879788425</v>
      </c>
      <c r="N247" s="18">
        <f t="shared" ca="1" si="20"/>
        <v>1</v>
      </c>
    </row>
    <row r="248" spans="10:14" x14ac:dyDescent="0.25">
      <c r="J248" s="16">
        <f t="shared" ca="1" si="17"/>
        <v>9.5242381412351502</v>
      </c>
      <c r="K248" s="16">
        <f t="shared" ca="1" si="18"/>
        <v>44.360930658835315</v>
      </c>
      <c r="L248" s="17">
        <f t="shared" si="19"/>
        <v>0.90476190476190477</v>
      </c>
      <c r="M248" s="16">
        <f t="shared" ca="1" si="21"/>
        <v>382.26558511760828</v>
      </c>
      <c r="N248" s="18">
        <f t="shared" ca="1" si="20"/>
        <v>1</v>
      </c>
    </row>
    <row r="249" spans="10:14" x14ac:dyDescent="0.25">
      <c r="J249" s="16">
        <f t="shared" ca="1" si="17"/>
        <v>10.818182822905264</v>
      </c>
      <c r="K249" s="16">
        <f t="shared" ca="1" si="18"/>
        <v>29.132732659498004</v>
      </c>
      <c r="L249" s="17">
        <f t="shared" si="19"/>
        <v>0.90476190476190477</v>
      </c>
      <c r="M249" s="16">
        <f t="shared" ca="1" si="21"/>
        <v>285.14768251353223</v>
      </c>
      <c r="N249" s="18">
        <f t="shared" ca="1" si="20"/>
        <v>1</v>
      </c>
    </row>
    <row r="250" spans="10:14" x14ac:dyDescent="0.25">
      <c r="J250" s="16">
        <f t="shared" ca="1" si="17"/>
        <v>8.5158495591110377</v>
      </c>
      <c r="K250" s="16">
        <f t="shared" ca="1" si="18"/>
        <v>33.106189094049213</v>
      </c>
      <c r="L250" s="17">
        <f t="shared" si="19"/>
        <v>0.90476190476190477</v>
      </c>
      <c r="M250" s="16">
        <f t="shared" ca="1" si="21"/>
        <v>255.0771042956051</v>
      </c>
      <c r="N250" s="18">
        <f t="shared" ca="1" si="20"/>
        <v>1</v>
      </c>
    </row>
    <row r="251" spans="10:14" x14ac:dyDescent="0.25">
      <c r="J251" s="16">
        <f t="shared" ca="1" si="17"/>
        <v>9.0802253899876213</v>
      </c>
      <c r="K251" s="16">
        <f t="shared" ca="1" si="18"/>
        <v>41.328159233271563</v>
      </c>
      <c r="L251" s="17">
        <f t="shared" si="19"/>
        <v>0.90476190476190477</v>
      </c>
      <c r="M251" s="16">
        <f t="shared" ca="1" si="21"/>
        <v>339.52909595412729</v>
      </c>
      <c r="N251" s="18">
        <f t="shared" ca="1" si="20"/>
        <v>1</v>
      </c>
    </row>
    <row r="252" spans="10:14" x14ac:dyDescent="0.25">
      <c r="J252" s="16">
        <f t="shared" ca="1" si="17"/>
        <v>6.0111086269422804</v>
      </c>
      <c r="K252" s="16">
        <f t="shared" ca="1" si="18"/>
        <v>25.806188007268826</v>
      </c>
      <c r="L252" s="17">
        <f t="shared" si="19"/>
        <v>0.90476190476190477</v>
      </c>
      <c r="M252" s="16">
        <f t="shared" ca="1" si="21"/>
        <v>140.35010418194159</v>
      </c>
      <c r="N252" s="18">
        <f t="shared" ca="1" si="20"/>
        <v>0</v>
      </c>
    </row>
    <row r="253" spans="10:14" x14ac:dyDescent="0.25">
      <c r="J253" s="16">
        <f t="shared" ca="1" si="17"/>
        <v>7.9620931633838783</v>
      </c>
      <c r="K253" s="16">
        <f t="shared" ca="1" si="18"/>
        <v>43.464096223435391</v>
      </c>
      <c r="L253" s="17">
        <f t="shared" si="19"/>
        <v>0.90476190476190477</v>
      </c>
      <c r="M253" s="16">
        <f t="shared" ca="1" si="21"/>
        <v>313.10659449867643</v>
      </c>
      <c r="N253" s="18">
        <f t="shared" ca="1" si="20"/>
        <v>1</v>
      </c>
    </row>
    <row r="254" spans="10:14" x14ac:dyDescent="0.25">
      <c r="J254" s="16">
        <f t="shared" ca="1" si="17"/>
        <v>8.5065687834506072</v>
      </c>
      <c r="K254" s="16">
        <f t="shared" ca="1" si="18"/>
        <v>41.690351627981201</v>
      </c>
      <c r="L254" s="17">
        <f t="shared" si="19"/>
        <v>0.90476190476190477</v>
      </c>
      <c r="M254" s="16">
        <f t="shared" ca="1" si="21"/>
        <v>320.8664300411246</v>
      </c>
      <c r="N254" s="18">
        <f t="shared" ca="1" si="20"/>
        <v>1</v>
      </c>
    </row>
    <row r="255" spans="10:14" x14ac:dyDescent="0.25">
      <c r="J255" s="16">
        <f t="shared" ca="1" si="17"/>
        <v>11.246250241300247</v>
      </c>
      <c r="K255" s="16">
        <f t="shared" ca="1" si="18"/>
        <v>43.506273509886356</v>
      </c>
      <c r="L255" s="17">
        <f t="shared" si="19"/>
        <v>0.90476190476190477</v>
      </c>
      <c r="M255" s="16">
        <f t="shared" ca="1" si="21"/>
        <v>442.68411143876409</v>
      </c>
      <c r="N255" s="18">
        <f t="shared" ca="1" si="20"/>
        <v>1</v>
      </c>
    </row>
    <row r="256" spans="10:14" x14ac:dyDescent="0.25">
      <c r="J256" s="16">
        <f t="shared" ca="1" si="17"/>
        <v>14.905002503412096</v>
      </c>
      <c r="K256" s="16">
        <f t="shared" ca="1" si="18"/>
        <v>36.050500558055475</v>
      </c>
      <c r="L256" s="17">
        <f t="shared" si="19"/>
        <v>0.90476190476190477</v>
      </c>
      <c r="M256" s="16">
        <f t="shared" ca="1" si="21"/>
        <v>486.15824858449736</v>
      </c>
      <c r="N256" s="18">
        <f t="shared" ca="1" si="20"/>
        <v>1</v>
      </c>
    </row>
    <row r="257" spans="10:14" x14ac:dyDescent="0.25">
      <c r="J257" s="16">
        <f t="shared" ca="1" si="17"/>
        <v>6.8688133200525519</v>
      </c>
      <c r="K257" s="16">
        <f t="shared" ca="1" si="18"/>
        <v>30.351592721759133</v>
      </c>
      <c r="L257" s="17">
        <f t="shared" si="19"/>
        <v>0.90476190476190477</v>
      </c>
      <c r="M257" s="16">
        <f t="shared" ca="1" si="21"/>
        <v>188.62424109850264</v>
      </c>
      <c r="N257" s="18">
        <f t="shared" ca="1" si="20"/>
        <v>0</v>
      </c>
    </row>
    <row r="258" spans="10:14" x14ac:dyDescent="0.25">
      <c r="J258" s="16">
        <f t="shared" ca="1" si="17"/>
        <v>2.8442434976010991</v>
      </c>
      <c r="K258" s="16">
        <f t="shared" ca="1" si="18"/>
        <v>37.434887656866017</v>
      </c>
      <c r="L258" s="17">
        <f t="shared" si="19"/>
        <v>0.90476190476190477</v>
      </c>
      <c r="M258" s="16">
        <f t="shared" ca="1" si="21"/>
        <v>96.333560963233694</v>
      </c>
      <c r="N258" s="18">
        <f t="shared" ca="1" si="20"/>
        <v>0</v>
      </c>
    </row>
    <row r="259" spans="10:14" x14ac:dyDescent="0.25">
      <c r="J259" s="16">
        <f t="shared" ca="1" si="17"/>
        <v>11.710583685185728</v>
      </c>
      <c r="K259" s="16">
        <f t="shared" ca="1" si="18"/>
        <v>31.177841788471056</v>
      </c>
      <c r="L259" s="17">
        <f t="shared" si="19"/>
        <v>0.90476190476190477</v>
      </c>
      <c r="M259" s="16">
        <f t="shared" ca="1" si="21"/>
        <v>330.33827535047851</v>
      </c>
      <c r="N259" s="18">
        <f t="shared" ca="1" si="20"/>
        <v>1</v>
      </c>
    </row>
    <row r="260" spans="10:14" x14ac:dyDescent="0.25">
      <c r="J260" s="16">
        <f t="shared" ref="J260:J323" ca="1" si="22">$D$2*(-LN(1-RAND()))^(1/$D$3)</f>
        <v>3.9210776467900894</v>
      </c>
      <c r="K260" s="16">
        <f t="shared" ref="K260:K323" ca="1" si="23">RAND()*($H$3-$H$2)+$H$2</f>
        <v>37.643060162815544</v>
      </c>
      <c r="L260" s="17">
        <f t="shared" ref="L260:L323" si="24">$D$22</f>
        <v>0.90476190476190477</v>
      </c>
      <c r="M260" s="16">
        <f t="shared" ca="1" si="21"/>
        <v>133.54408921250572</v>
      </c>
      <c r="N260" s="18">
        <f t="shared" ref="N260:N323" ca="1" si="25">IF(M260&gt;$R$2,1,0)</f>
        <v>0</v>
      </c>
    </row>
    <row r="261" spans="10:14" x14ac:dyDescent="0.25">
      <c r="J261" s="16">
        <f t="shared" ca="1" si="22"/>
        <v>8.4566661860490768</v>
      </c>
      <c r="K261" s="16">
        <f t="shared" ca="1" si="23"/>
        <v>21.662247675395648</v>
      </c>
      <c r="L261" s="17">
        <f t="shared" si="24"/>
        <v>0.90476190476190477</v>
      </c>
      <c r="M261" s="16">
        <f t="shared" ca="1" si="21"/>
        <v>165.74369291316347</v>
      </c>
      <c r="N261" s="18">
        <f t="shared" ca="1" si="25"/>
        <v>0</v>
      </c>
    </row>
    <row r="262" spans="10:14" x14ac:dyDescent="0.25">
      <c r="J262" s="16">
        <f t="shared" ca="1" si="22"/>
        <v>7.2179007914253681</v>
      </c>
      <c r="K262" s="16">
        <f t="shared" ca="1" si="23"/>
        <v>20.843092128717004</v>
      </c>
      <c r="L262" s="17">
        <f t="shared" si="24"/>
        <v>0.90476190476190477</v>
      </c>
      <c r="M262" s="16">
        <f t="shared" ca="1" si="21"/>
        <v>136.1154310600356</v>
      </c>
      <c r="N262" s="18">
        <f t="shared" ca="1" si="25"/>
        <v>0</v>
      </c>
    </row>
    <row r="263" spans="10:14" x14ac:dyDescent="0.25">
      <c r="J263" s="16">
        <f t="shared" ca="1" si="22"/>
        <v>1.5533462769279311</v>
      </c>
      <c r="K263" s="16">
        <f t="shared" ca="1" si="23"/>
        <v>34.823859725953255</v>
      </c>
      <c r="L263" s="17">
        <f t="shared" si="24"/>
        <v>0.90476190476190477</v>
      </c>
      <c r="M263" s="16">
        <f t="shared" ca="1" si="21"/>
        <v>48.941749724658585</v>
      </c>
      <c r="N263" s="18">
        <f t="shared" ca="1" si="25"/>
        <v>0</v>
      </c>
    </row>
    <row r="264" spans="10:14" x14ac:dyDescent="0.25">
      <c r="J264" s="16">
        <f t="shared" ca="1" si="22"/>
        <v>5.4056920262729227</v>
      </c>
      <c r="K264" s="16">
        <f t="shared" ca="1" si="23"/>
        <v>31.514480524379699</v>
      </c>
      <c r="L264" s="17">
        <f t="shared" si="24"/>
        <v>0.90476190476190477</v>
      </c>
      <c r="M264" s="16">
        <f t="shared" ca="1" si="21"/>
        <v>154.1330450272705</v>
      </c>
      <c r="N264" s="18">
        <f t="shared" ca="1" si="25"/>
        <v>0</v>
      </c>
    </row>
    <row r="265" spans="10:14" x14ac:dyDescent="0.25">
      <c r="J265" s="16">
        <f t="shared" ca="1" si="22"/>
        <v>11.418912446375076</v>
      </c>
      <c r="K265" s="16">
        <f t="shared" ca="1" si="23"/>
        <v>43.45576485920617</v>
      </c>
      <c r="L265" s="17">
        <f t="shared" si="24"/>
        <v>0.90476190476190477</v>
      </c>
      <c r="M265" s="16">
        <f t="shared" ca="1" si="21"/>
        <v>448.95875762539151</v>
      </c>
      <c r="N265" s="18">
        <f t="shared" ca="1" si="25"/>
        <v>1</v>
      </c>
    </row>
    <row r="266" spans="10:14" x14ac:dyDescent="0.25">
      <c r="J266" s="16">
        <f t="shared" ca="1" si="22"/>
        <v>11.949459326946458</v>
      </c>
      <c r="K266" s="16">
        <f t="shared" ca="1" si="23"/>
        <v>37.952908110210643</v>
      </c>
      <c r="L266" s="17">
        <f t="shared" si="24"/>
        <v>0.90476190476190477</v>
      </c>
      <c r="M266" s="16">
        <f t="shared" ca="1" si="21"/>
        <v>410.32466210684146</v>
      </c>
      <c r="N266" s="18">
        <f t="shared" ca="1" si="25"/>
        <v>1</v>
      </c>
    </row>
    <row r="267" spans="10:14" x14ac:dyDescent="0.25">
      <c r="J267" s="16">
        <f t="shared" ca="1" si="22"/>
        <v>9.264764654644317</v>
      </c>
      <c r="K267" s="16">
        <f t="shared" ca="1" si="23"/>
        <v>28.502044032410296</v>
      </c>
      <c r="L267" s="17">
        <f t="shared" si="24"/>
        <v>0.90476190476190477</v>
      </c>
      <c r="M267" s="16">
        <f t="shared" ca="1" si="21"/>
        <v>238.9157082188203</v>
      </c>
      <c r="N267" s="18">
        <f t="shared" ca="1" si="25"/>
        <v>1</v>
      </c>
    </row>
    <row r="268" spans="10:14" x14ac:dyDescent="0.25">
      <c r="J268" s="16">
        <f t="shared" ca="1" si="22"/>
        <v>5.9873001274023707</v>
      </c>
      <c r="K268" s="16">
        <f t="shared" ca="1" si="23"/>
        <v>29.839646620205784</v>
      </c>
      <c r="L268" s="17">
        <f t="shared" si="24"/>
        <v>0.90476190476190477</v>
      </c>
      <c r="M268" s="16">
        <f t="shared" ca="1" si="21"/>
        <v>161.64378477167602</v>
      </c>
      <c r="N268" s="18">
        <f t="shared" ca="1" si="25"/>
        <v>0</v>
      </c>
    </row>
    <row r="269" spans="10:14" x14ac:dyDescent="0.25">
      <c r="J269" s="16">
        <f t="shared" ca="1" si="22"/>
        <v>9.0837616341110614</v>
      </c>
      <c r="K269" s="16">
        <f t="shared" ca="1" si="23"/>
        <v>30.406338089586942</v>
      </c>
      <c r="L269" s="17">
        <f t="shared" si="24"/>
        <v>0.90476190476190477</v>
      </c>
      <c r="M269" s="16">
        <f t="shared" ca="1" si="21"/>
        <v>249.89879143180923</v>
      </c>
      <c r="N269" s="18">
        <f t="shared" ca="1" si="25"/>
        <v>1</v>
      </c>
    </row>
    <row r="270" spans="10:14" x14ac:dyDescent="0.25">
      <c r="J270" s="16">
        <f t="shared" ca="1" si="22"/>
        <v>6.6938590743035018</v>
      </c>
      <c r="K270" s="16">
        <f t="shared" ca="1" si="23"/>
        <v>25.60882474480934</v>
      </c>
      <c r="L270" s="17">
        <f t="shared" si="24"/>
        <v>0.90476190476190477</v>
      </c>
      <c r="M270" s="16">
        <f t="shared" ca="1" si="21"/>
        <v>155.09597210026243</v>
      </c>
      <c r="N270" s="18">
        <f t="shared" ca="1" si="25"/>
        <v>0</v>
      </c>
    </row>
    <row r="271" spans="10:14" x14ac:dyDescent="0.25">
      <c r="J271" s="16">
        <f t="shared" ca="1" si="22"/>
        <v>8.0346615038095663</v>
      </c>
      <c r="K271" s="16">
        <f t="shared" ca="1" si="23"/>
        <v>25.264126266038325</v>
      </c>
      <c r="L271" s="17">
        <f t="shared" si="24"/>
        <v>0.90476190476190477</v>
      </c>
      <c r="M271" s="16">
        <f t="shared" ca="1" si="21"/>
        <v>183.65644533358679</v>
      </c>
      <c r="N271" s="18">
        <f t="shared" ca="1" si="25"/>
        <v>0</v>
      </c>
    </row>
    <row r="272" spans="10:14" x14ac:dyDescent="0.25">
      <c r="J272" s="16">
        <f t="shared" ca="1" si="22"/>
        <v>12.796849654654627</v>
      </c>
      <c r="K272" s="16">
        <f t="shared" ca="1" si="23"/>
        <v>32.569065445081016</v>
      </c>
      <c r="L272" s="17">
        <f t="shared" si="24"/>
        <v>0.90476190476190477</v>
      </c>
      <c r="M272" s="16">
        <f t="shared" ca="1" si="21"/>
        <v>377.08796399870806</v>
      </c>
      <c r="N272" s="18">
        <f t="shared" ca="1" si="25"/>
        <v>1</v>
      </c>
    </row>
    <row r="273" spans="10:14" x14ac:dyDescent="0.25">
      <c r="J273" s="16">
        <f t="shared" ca="1" si="22"/>
        <v>6.2751695709487629</v>
      </c>
      <c r="K273" s="16">
        <f t="shared" ca="1" si="23"/>
        <v>38.032515197773208</v>
      </c>
      <c r="L273" s="17">
        <f t="shared" si="24"/>
        <v>0.90476190476190477</v>
      </c>
      <c r="M273" s="16">
        <f t="shared" ca="1" si="21"/>
        <v>215.93091235421633</v>
      </c>
      <c r="N273" s="18">
        <f t="shared" ca="1" si="25"/>
        <v>0</v>
      </c>
    </row>
    <row r="274" spans="10:14" x14ac:dyDescent="0.25">
      <c r="J274" s="16">
        <f t="shared" ca="1" si="22"/>
        <v>5.3720540284240608</v>
      </c>
      <c r="K274" s="16">
        <f t="shared" ca="1" si="23"/>
        <v>36.617300726603574</v>
      </c>
      <c r="L274" s="17">
        <f t="shared" si="24"/>
        <v>0.90476190476190477</v>
      </c>
      <c r="M274" s="16">
        <f t="shared" ca="1" si="21"/>
        <v>177.97582093756927</v>
      </c>
      <c r="N274" s="18">
        <f t="shared" ca="1" si="25"/>
        <v>0</v>
      </c>
    </row>
    <row r="275" spans="10:14" x14ac:dyDescent="0.25">
      <c r="J275" s="16">
        <f t="shared" ca="1" si="22"/>
        <v>10.231190269538669</v>
      </c>
      <c r="K275" s="16">
        <f t="shared" ca="1" si="23"/>
        <v>45.580614085244143</v>
      </c>
      <c r="L275" s="17">
        <f t="shared" si="24"/>
        <v>0.90476190476190477</v>
      </c>
      <c r="M275" s="16">
        <f t="shared" ref="M275:M338" ca="1" si="26">J275*K275*L275</f>
        <v>421.93022718392353</v>
      </c>
      <c r="N275" s="18">
        <f t="shared" ca="1" si="25"/>
        <v>1</v>
      </c>
    </row>
    <row r="276" spans="10:14" x14ac:dyDescent="0.25">
      <c r="J276" s="16">
        <f t="shared" ca="1" si="22"/>
        <v>5.1129850444973632</v>
      </c>
      <c r="K276" s="16">
        <f t="shared" ca="1" si="23"/>
        <v>22.402555193443384</v>
      </c>
      <c r="L276" s="17">
        <f t="shared" si="24"/>
        <v>0.90476190476190477</v>
      </c>
      <c r="M276" s="16">
        <f t="shared" ca="1" si="26"/>
        <v>103.6349839804501</v>
      </c>
      <c r="N276" s="18">
        <f t="shared" ca="1" si="25"/>
        <v>0</v>
      </c>
    </row>
    <row r="277" spans="10:14" x14ac:dyDescent="0.25">
      <c r="J277" s="16">
        <f t="shared" ca="1" si="22"/>
        <v>8.5067723678101252</v>
      </c>
      <c r="K277" s="16">
        <f t="shared" ca="1" si="23"/>
        <v>45.085710548596317</v>
      </c>
      <c r="L277" s="17">
        <f t="shared" si="24"/>
        <v>0.90476190476190477</v>
      </c>
      <c r="M277" s="16">
        <f t="shared" ca="1" si="26"/>
        <v>347.0068408038004</v>
      </c>
      <c r="N277" s="18">
        <f t="shared" ca="1" si="25"/>
        <v>1</v>
      </c>
    </row>
    <row r="278" spans="10:14" x14ac:dyDescent="0.25">
      <c r="J278" s="16">
        <f t="shared" ca="1" si="22"/>
        <v>13.005765217651113</v>
      </c>
      <c r="K278" s="16">
        <f t="shared" ca="1" si="23"/>
        <v>35.752767613133813</v>
      </c>
      <c r="L278" s="17">
        <f t="shared" si="24"/>
        <v>0.90476190476190477</v>
      </c>
      <c r="M278" s="16">
        <f t="shared" ca="1" si="26"/>
        <v>420.7071394140724</v>
      </c>
      <c r="N278" s="18">
        <f t="shared" ca="1" si="25"/>
        <v>1</v>
      </c>
    </row>
    <row r="279" spans="10:14" x14ac:dyDescent="0.25">
      <c r="J279" s="16">
        <f t="shared" ca="1" si="22"/>
        <v>15.558532525579389</v>
      </c>
      <c r="K279" s="16">
        <f t="shared" ca="1" si="23"/>
        <v>35.809909164494293</v>
      </c>
      <c r="L279" s="17">
        <f t="shared" si="24"/>
        <v>0.90476190476190477</v>
      </c>
      <c r="M279" s="16">
        <f t="shared" ca="1" si="26"/>
        <v>504.08776633346338</v>
      </c>
      <c r="N279" s="18">
        <f t="shared" ca="1" si="25"/>
        <v>1</v>
      </c>
    </row>
    <row r="280" spans="10:14" x14ac:dyDescent="0.25">
      <c r="J280" s="16">
        <f t="shared" ca="1" si="22"/>
        <v>4.1683454479306121</v>
      </c>
      <c r="K280" s="16">
        <f t="shared" ca="1" si="23"/>
        <v>27.108301111098669</v>
      </c>
      <c r="L280" s="17">
        <f t="shared" si="24"/>
        <v>0.90476190476190477</v>
      </c>
      <c r="M280" s="16">
        <f t="shared" ca="1" si="26"/>
        <v>102.23516701019187</v>
      </c>
      <c r="N280" s="18">
        <f t="shared" ca="1" si="25"/>
        <v>0</v>
      </c>
    </row>
    <row r="281" spans="10:14" x14ac:dyDescent="0.25">
      <c r="J281" s="16">
        <f t="shared" ca="1" si="22"/>
        <v>3.1711935443796295</v>
      </c>
      <c r="K281" s="16">
        <f t="shared" ca="1" si="23"/>
        <v>22.317568068882352</v>
      </c>
      <c r="L281" s="17">
        <f t="shared" si="24"/>
        <v>0.90476190476190477</v>
      </c>
      <c r="M281" s="16">
        <f t="shared" ca="1" si="26"/>
        <v>64.033010854264802</v>
      </c>
      <c r="N281" s="18">
        <f t="shared" ca="1" si="25"/>
        <v>0</v>
      </c>
    </row>
    <row r="282" spans="10:14" x14ac:dyDescent="0.25">
      <c r="J282" s="16">
        <f t="shared" ca="1" si="22"/>
        <v>11.583355525738948</v>
      </c>
      <c r="K282" s="16">
        <f t="shared" ca="1" si="23"/>
        <v>43.105005649268051</v>
      </c>
      <c r="L282" s="17">
        <f t="shared" si="24"/>
        <v>0.90476190476190477</v>
      </c>
      <c r="M282" s="16">
        <f t="shared" ca="1" si="26"/>
        <v>451.74816676736646</v>
      </c>
      <c r="N282" s="18">
        <f t="shared" ca="1" si="25"/>
        <v>1</v>
      </c>
    </row>
    <row r="283" spans="10:14" x14ac:dyDescent="0.25">
      <c r="J283" s="16">
        <f t="shared" ca="1" si="22"/>
        <v>10.800598715726666</v>
      </c>
      <c r="K283" s="16">
        <f t="shared" ca="1" si="23"/>
        <v>37.80497470846899</v>
      </c>
      <c r="L283" s="17">
        <f t="shared" si="24"/>
        <v>0.90476190476190477</v>
      </c>
      <c r="M283" s="16">
        <f t="shared" ca="1" si="26"/>
        <v>369.42908878109603</v>
      </c>
      <c r="N283" s="18">
        <f t="shared" ca="1" si="25"/>
        <v>1</v>
      </c>
    </row>
    <row r="284" spans="10:14" x14ac:dyDescent="0.25">
      <c r="J284" s="16">
        <f t="shared" ca="1" si="22"/>
        <v>8.2382967784368812</v>
      </c>
      <c r="K284" s="16">
        <f t="shared" ca="1" si="23"/>
        <v>31.862604024285233</v>
      </c>
      <c r="L284" s="17">
        <f t="shared" si="24"/>
        <v>0.90476190476190477</v>
      </c>
      <c r="M284" s="16">
        <f t="shared" ca="1" si="26"/>
        <v>237.49419874436674</v>
      </c>
      <c r="N284" s="18">
        <f t="shared" ca="1" si="25"/>
        <v>0</v>
      </c>
    </row>
    <row r="285" spans="10:14" x14ac:dyDescent="0.25">
      <c r="J285" s="16">
        <f t="shared" ca="1" si="22"/>
        <v>5.7329230530628061</v>
      </c>
      <c r="K285" s="16">
        <f t="shared" ca="1" si="23"/>
        <v>36.472680533961558</v>
      </c>
      <c r="L285" s="17">
        <f t="shared" si="24"/>
        <v>0.90476190476190477</v>
      </c>
      <c r="M285" s="16">
        <f t="shared" ca="1" si="26"/>
        <v>189.1812547506058</v>
      </c>
      <c r="N285" s="18">
        <f t="shared" ca="1" si="25"/>
        <v>0</v>
      </c>
    </row>
    <row r="286" spans="10:14" x14ac:dyDescent="0.25">
      <c r="J286" s="16">
        <f t="shared" ca="1" si="22"/>
        <v>2.8796122723760735</v>
      </c>
      <c r="K286" s="16">
        <f t="shared" ca="1" si="23"/>
        <v>44.142697063307835</v>
      </c>
      <c r="L286" s="17">
        <f t="shared" si="24"/>
        <v>0.90476190476190477</v>
      </c>
      <c r="M286" s="16">
        <f t="shared" ca="1" si="26"/>
        <v>115.00777103744426</v>
      </c>
      <c r="N286" s="18">
        <f t="shared" ca="1" si="25"/>
        <v>0</v>
      </c>
    </row>
    <row r="287" spans="10:14" x14ac:dyDescent="0.25">
      <c r="J287" s="16">
        <f t="shared" ca="1" si="22"/>
        <v>13.494341330312722</v>
      </c>
      <c r="K287" s="16">
        <f t="shared" ca="1" si="23"/>
        <v>27.122496446537276</v>
      </c>
      <c r="L287" s="17">
        <f t="shared" si="24"/>
        <v>0.90476190476190477</v>
      </c>
      <c r="M287" s="16">
        <f t="shared" ca="1" si="26"/>
        <v>331.14306051502808</v>
      </c>
      <c r="N287" s="18">
        <f t="shared" ca="1" si="25"/>
        <v>1</v>
      </c>
    </row>
    <row r="288" spans="10:14" x14ac:dyDescent="0.25">
      <c r="J288" s="16">
        <f t="shared" ca="1" si="22"/>
        <v>6.9703890115654135</v>
      </c>
      <c r="K288" s="16">
        <f t="shared" ca="1" si="23"/>
        <v>29.540570909274464</v>
      </c>
      <c r="L288" s="17">
        <f t="shared" si="24"/>
        <v>0.90476190476190477</v>
      </c>
      <c r="M288" s="16">
        <f t="shared" ca="1" si="26"/>
        <v>186.29886411267319</v>
      </c>
      <c r="N288" s="18">
        <f t="shared" ca="1" si="25"/>
        <v>0</v>
      </c>
    </row>
    <row r="289" spans="10:14" x14ac:dyDescent="0.25">
      <c r="J289" s="16">
        <f t="shared" ca="1" si="22"/>
        <v>12.734254669530344</v>
      </c>
      <c r="K289" s="16">
        <f t="shared" ca="1" si="23"/>
        <v>34.515428255748134</v>
      </c>
      <c r="L289" s="17">
        <f t="shared" si="24"/>
        <v>0.90476190476190477</v>
      </c>
      <c r="M289" s="16">
        <f t="shared" ca="1" si="26"/>
        <v>397.6684197759717</v>
      </c>
      <c r="N289" s="18">
        <f t="shared" ca="1" si="25"/>
        <v>1</v>
      </c>
    </row>
    <row r="290" spans="10:14" x14ac:dyDescent="0.25">
      <c r="J290" s="16">
        <f t="shared" ca="1" si="22"/>
        <v>6.5466382688962232</v>
      </c>
      <c r="K290" s="16">
        <f t="shared" ca="1" si="23"/>
        <v>27.518115260220394</v>
      </c>
      <c r="L290" s="17">
        <f t="shared" si="24"/>
        <v>0.90476190476190477</v>
      </c>
      <c r="M290" s="16">
        <f t="shared" ca="1" si="26"/>
        <v>162.99389440755542</v>
      </c>
      <c r="N290" s="18">
        <f t="shared" ca="1" si="25"/>
        <v>0</v>
      </c>
    </row>
    <row r="291" spans="10:14" x14ac:dyDescent="0.25">
      <c r="J291" s="16">
        <f t="shared" ca="1" si="22"/>
        <v>10.081417157410103</v>
      </c>
      <c r="K291" s="16">
        <f t="shared" ca="1" si="23"/>
        <v>37.787144880917296</v>
      </c>
      <c r="L291" s="17">
        <f t="shared" si="24"/>
        <v>0.90476190476190477</v>
      </c>
      <c r="M291" s="16">
        <f t="shared" ca="1" si="26"/>
        <v>344.66721161468564</v>
      </c>
      <c r="N291" s="18">
        <f t="shared" ca="1" si="25"/>
        <v>1</v>
      </c>
    </row>
    <row r="292" spans="10:14" x14ac:dyDescent="0.25">
      <c r="J292" s="16">
        <f t="shared" ca="1" si="22"/>
        <v>8.2030097390119607</v>
      </c>
      <c r="K292" s="16">
        <f t="shared" ca="1" si="23"/>
        <v>43.375541111156551</v>
      </c>
      <c r="L292" s="17">
        <f t="shared" si="24"/>
        <v>0.90476190476190477</v>
      </c>
      <c r="M292" s="16">
        <f t="shared" ca="1" si="26"/>
        <v>321.92332082023268</v>
      </c>
      <c r="N292" s="18">
        <f t="shared" ca="1" si="25"/>
        <v>1</v>
      </c>
    </row>
    <row r="293" spans="10:14" x14ac:dyDescent="0.25">
      <c r="J293" s="16">
        <f t="shared" ca="1" si="22"/>
        <v>10.695238716665038</v>
      </c>
      <c r="K293" s="16">
        <f t="shared" ca="1" si="23"/>
        <v>41.830083472636211</v>
      </c>
      <c r="L293" s="17">
        <f t="shared" si="24"/>
        <v>0.90476190476190477</v>
      </c>
      <c r="M293" s="16">
        <f t="shared" ca="1" si="26"/>
        <v>404.77484939426256</v>
      </c>
      <c r="N293" s="18">
        <f t="shared" ca="1" si="25"/>
        <v>1</v>
      </c>
    </row>
    <row r="294" spans="10:14" x14ac:dyDescent="0.25">
      <c r="J294" s="16">
        <f t="shared" ca="1" si="22"/>
        <v>8.7954558031043817</v>
      </c>
      <c r="K294" s="16">
        <f t="shared" ca="1" si="23"/>
        <v>20.050074113793976</v>
      </c>
      <c r="L294" s="17">
        <f t="shared" si="24"/>
        <v>0.90476190476190477</v>
      </c>
      <c r="M294" s="16">
        <f t="shared" ca="1" si="26"/>
        <v>159.55434636285722</v>
      </c>
      <c r="N294" s="18">
        <f t="shared" ca="1" si="25"/>
        <v>0</v>
      </c>
    </row>
    <row r="295" spans="10:14" x14ac:dyDescent="0.25">
      <c r="J295" s="16">
        <f t="shared" ca="1" si="22"/>
        <v>10.835221338454406</v>
      </c>
      <c r="K295" s="16">
        <f t="shared" ca="1" si="23"/>
        <v>20.930405330579209</v>
      </c>
      <c r="L295" s="17">
        <f t="shared" si="24"/>
        <v>0.90476190476190477</v>
      </c>
      <c r="M295" s="16">
        <f t="shared" ca="1" si="26"/>
        <v>205.18694832130677</v>
      </c>
      <c r="N295" s="18">
        <f t="shared" ca="1" si="25"/>
        <v>0</v>
      </c>
    </row>
    <row r="296" spans="10:14" x14ac:dyDescent="0.25">
      <c r="J296" s="16">
        <f t="shared" ca="1" si="22"/>
        <v>11.678881497621886</v>
      </c>
      <c r="K296" s="16">
        <f t="shared" ca="1" si="23"/>
        <v>45.167117013191543</v>
      </c>
      <c r="L296" s="17">
        <f t="shared" si="24"/>
        <v>0.90476190476190477</v>
      </c>
      <c r="M296" s="16">
        <f t="shared" ca="1" si="26"/>
        <v>477.26317793044871</v>
      </c>
      <c r="N296" s="18">
        <f t="shared" ca="1" si="25"/>
        <v>1</v>
      </c>
    </row>
    <row r="297" spans="10:14" x14ac:dyDescent="0.25">
      <c r="J297" s="16">
        <f t="shared" ca="1" si="22"/>
        <v>12.508623093815169</v>
      </c>
      <c r="K297" s="16">
        <f t="shared" ca="1" si="23"/>
        <v>26.348092477602499</v>
      </c>
      <c r="L297" s="17">
        <f t="shared" si="24"/>
        <v>0.90476190476190477</v>
      </c>
      <c r="M297" s="16">
        <f t="shared" ca="1" si="26"/>
        <v>298.18994299157197</v>
      </c>
      <c r="N297" s="18">
        <f t="shared" ca="1" si="25"/>
        <v>1</v>
      </c>
    </row>
    <row r="298" spans="10:14" x14ac:dyDescent="0.25">
      <c r="J298" s="16">
        <f t="shared" ca="1" si="22"/>
        <v>16.183495963690238</v>
      </c>
      <c r="K298" s="16">
        <f t="shared" ca="1" si="23"/>
        <v>29.67104519205126</v>
      </c>
      <c r="L298" s="17">
        <f t="shared" si="24"/>
        <v>0.90476190476190477</v>
      </c>
      <c r="M298" s="16">
        <f t="shared" ca="1" si="26"/>
        <v>434.4496934274577</v>
      </c>
      <c r="N298" s="18">
        <f t="shared" ca="1" si="25"/>
        <v>1</v>
      </c>
    </row>
    <row r="299" spans="10:14" x14ac:dyDescent="0.25">
      <c r="J299" s="16">
        <f t="shared" ca="1" si="22"/>
        <v>9.3906137703619841</v>
      </c>
      <c r="K299" s="16">
        <f t="shared" ca="1" si="23"/>
        <v>23.897792619642892</v>
      </c>
      <c r="L299" s="17">
        <f t="shared" si="24"/>
        <v>0.90476190476190477</v>
      </c>
      <c r="M299" s="16">
        <f t="shared" ca="1" si="26"/>
        <v>203.04208898334275</v>
      </c>
      <c r="N299" s="18">
        <f t="shared" ca="1" si="25"/>
        <v>0</v>
      </c>
    </row>
    <row r="300" spans="10:14" x14ac:dyDescent="0.25">
      <c r="J300" s="16">
        <f t="shared" ca="1" si="22"/>
        <v>12.517491362613525</v>
      </c>
      <c r="K300" s="16">
        <f t="shared" ca="1" si="23"/>
        <v>27.117098493759691</v>
      </c>
      <c r="L300" s="17">
        <f t="shared" si="24"/>
        <v>0.90476190476190477</v>
      </c>
      <c r="M300" s="16">
        <f t="shared" ca="1" si="26"/>
        <v>307.11061320575072</v>
      </c>
      <c r="N300" s="18">
        <f t="shared" ca="1" si="25"/>
        <v>1</v>
      </c>
    </row>
    <row r="301" spans="10:14" x14ac:dyDescent="0.25">
      <c r="J301" s="16">
        <f t="shared" ca="1" si="22"/>
        <v>7.7172647799791516</v>
      </c>
      <c r="K301" s="16">
        <f t="shared" ca="1" si="23"/>
        <v>43.311247273066201</v>
      </c>
      <c r="L301" s="17">
        <f t="shared" si="24"/>
        <v>0.90476190476190477</v>
      </c>
      <c r="M301" s="16">
        <f t="shared" ca="1" si="26"/>
        <v>302.41156666622072</v>
      </c>
      <c r="N301" s="18">
        <f t="shared" ca="1" si="25"/>
        <v>1</v>
      </c>
    </row>
    <row r="302" spans="10:14" x14ac:dyDescent="0.25">
      <c r="J302" s="16">
        <f t="shared" ca="1" si="22"/>
        <v>6.6900210899815917</v>
      </c>
      <c r="K302" s="16">
        <f t="shared" ca="1" si="23"/>
        <v>41.468355563736608</v>
      </c>
      <c r="L302" s="17">
        <f t="shared" si="24"/>
        <v>0.90476190476190477</v>
      </c>
      <c r="M302" s="16">
        <f t="shared" ca="1" si="26"/>
        <v>251.00282345127687</v>
      </c>
      <c r="N302" s="18">
        <f t="shared" ca="1" si="25"/>
        <v>1</v>
      </c>
    </row>
    <row r="303" spans="10:14" x14ac:dyDescent="0.25">
      <c r="J303" s="16">
        <f t="shared" ca="1" si="22"/>
        <v>9.3103713654761773</v>
      </c>
      <c r="K303" s="16">
        <f t="shared" ca="1" si="23"/>
        <v>30.25149902893228</v>
      </c>
      <c r="L303" s="17">
        <f t="shared" si="24"/>
        <v>0.90476190476190477</v>
      </c>
      <c r="M303" s="16">
        <f t="shared" ca="1" si="26"/>
        <v>254.82862457677751</v>
      </c>
      <c r="N303" s="18">
        <f t="shared" ca="1" si="25"/>
        <v>1</v>
      </c>
    </row>
    <row r="304" spans="10:14" x14ac:dyDescent="0.25">
      <c r="J304" s="16">
        <f t="shared" ca="1" si="22"/>
        <v>12.309962362245068</v>
      </c>
      <c r="K304" s="16">
        <f t="shared" ca="1" si="23"/>
        <v>43.143109063215171</v>
      </c>
      <c r="L304" s="17">
        <f t="shared" si="24"/>
        <v>0.90476190476190477</v>
      </c>
      <c r="M304" s="16">
        <f t="shared" ca="1" si="26"/>
        <v>480.51004411475452</v>
      </c>
      <c r="N304" s="18">
        <f t="shared" ca="1" si="25"/>
        <v>1</v>
      </c>
    </row>
    <row r="305" spans="10:14" x14ac:dyDescent="0.25">
      <c r="J305" s="16">
        <f t="shared" ca="1" si="22"/>
        <v>10.430038457599808</v>
      </c>
      <c r="K305" s="16">
        <f t="shared" ca="1" si="23"/>
        <v>22.138011357340979</v>
      </c>
      <c r="L305" s="17">
        <f t="shared" si="24"/>
        <v>0.90476190476190477</v>
      </c>
      <c r="M305" s="16">
        <f t="shared" ca="1" si="26"/>
        <v>208.90980413357653</v>
      </c>
      <c r="N305" s="18">
        <f t="shared" ca="1" si="25"/>
        <v>0</v>
      </c>
    </row>
    <row r="306" spans="10:14" x14ac:dyDescent="0.25">
      <c r="J306" s="16">
        <f t="shared" ca="1" si="22"/>
        <v>9.2522651347908873</v>
      </c>
      <c r="K306" s="16">
        <f t="shared" ca="1" si="23"/>
        <v>44.353915368605442</v>
      </c>
      <c r="L306" s="17">
        <f t="shared" si="24"/>
        <v>0.90476190476190477</v>
      </c>
      <c r="M306" s="16">
        <f t="shared" ca="1" si="26"/>
        <v>371.29092906532685</v>
      </c>
      <c r="N306" s="18">
        <f t="shared" ca="1" si="25"/>
        <v>1</v>
      </c>
    </row>
    <row r="307" spans="10:14" x14ac:dyDescent="0.25">
      <c r="J307" s="16">
        <f t="shared" ca="1" si="22"/>
        <v>7.7498080396913425</v>
      </c>
      <c r="K307" s="16">
        <f t="shared" ca="1" si="23"/>
        <v>24.930601829667122</v>
      </c>
      <c r="L307" s="17">
        <f t="shared" si="24"/>
        <v>0.90476190476190477</v>
      </c>
      <c r="M307" s="16">
        <f t="shared" ca="1" si="26"/>
        <v>174.80667578019339</v>
      </c>
      <c r="N307" s="18">
        <f t="shared" ca="1" si="25"/>
        <v>0</v>
      </c>
    </row>
    <row r="308" spans="10:14" x14ac:dyDescent="0.25">
      <c r="J308" s="16">
        <f t="shared" ca="1" si="22"/>
        <v>9.4654388025933969</v>
      </c>
      <c r="K308" s="16">
        <f t="shared" ca="1" si="23"/>
        <v>23.195666319142173</v>
      </c>
      <c r="L308" s="17">
        <f t="shared" si="24"/>
        <v>0.90476190476190477</v>
      </c>
      <c r="M308" s="16">
        <f t="shared" ca="1" si="26"/>
        <v>198.64695431214878</v>
      </c>
      <c r="N308" s="18">
        <f t="shared" ca="1" si="25"/>
        <v>0</v>
      </c>
    </row>
    <row r="309" spans="10:14" x14ac:dyDescent="0.25">
      <c r="J309" s="16">
        <f t="shared" ca="1" si="22"/>
        <v>9.8288639387697216</v>
      </c>
      <c r="K309" s="16">
        <f t="shared" ca="1" si="23"/>
        <v>22.50753644641533</v>
      </c>
      <c r="L309" s="17">
        <f t="shared" si="24"/>
        <v>0.90476190476190477</v>
      </c>
      <c r="M309" s="16">
        <f t="shared" ca="1" si="26"/>
        <v>200.15460729741048</v>
      </c>
      <c r="N309" s="18">
        <f t="shared" ca="1" si="25"/>
        <v>0</v>
      </c>
    </row>
    <row r="310" spans="10:14" x14ac:dyDescent="0.25">
      <c r="J310" s="16">
        <f t="shared" ca="1" si="22"/>
        <v>7.6652346470222135</v>
      </c>
      <c r="K310" s="16">
        <f t="shared" ca="1" si="23"/>
        <v>39.097719412323336</v>
      </c>
      <c r="L310" s="17">
        <f t="shared" si="24"/>
        <v>0.90476190476190477</v>
      </c>
      <c r="M310" s="16">
        <f t="shared" ca="1" si="26"/>
        <v>271.15098455804679</v>
      </c>
      <c r="N310" s="18">
        <f t="shared" ca="1" si="25"/>
        <v>1</v>
      </c>
    </row>
    <row r="311" spans="10:14" x14ac:dyDescent="0.25">
      <c r="J311" s="16">
        <f t="shared" ca="1" si="22"/>
        <v>7.0158396108173804</v>
      </c>
      <c r="K311" s="16">
        <f t="shared" ca="1" si="23"/>
        <v>24.586617319809655</v>
      </c>
      <c r="L311" s="17">
        <f t="shared" si="24"/>
        <v>0.90476190476190477</v>
      </c>
      <c r="M311" s="16">
        <f t="shared" ca="1" si="26"/>
        <v>156.06759571801214</v>
      </c>
      <c r="N311" s="18">
        <f t="shared" ca="1" si="25"/>
        <v>0</v>
      </c>
    </row>
    <row r="312" spans="10:14" x14ac:dyDescent="0.25">
      <c r="J312" s="16">
        <f t="shared" ca="1" si="22"/>
        <v>12.053131298351749</v>
      </c>
      <c r="K312" s="16">
        <f t="shared" ca="1" si="23"/>
        <v>26.87767255744351</v>
      </c>
      <c r="L312" s="17">
        <f t="shared" si="24"/>
        <v>0.90476190476190477</v>
      </c>
      <c r="M312" s="16">
        <f t="shared" ca="1" si="26"/>
        <v>293.10677191668918</v>
      </c>
      <c r="N312" s="18">
        <f t="shared" ca="1" si="25"/>
        <v>1</v>
      </c>
    </row>
    <row r="313" spans="10:14" x14ac:dyDescent="0.25">
      <c r="J313" s="16">
        <f t="shared" ca="1" si="22"/>
        <v>4.9130186438442873</v>
      </c>
      <c r="K313" s="16">
        <f t="shared" ca="1" si="23"/>
        <v>33.328504114217161</v>
      </c>
      <c r="L313" s="17">
        <f t="shared" si="24"/>
        <v>0.90476190476190477</v>
      </c>
      <c r="M313" s="16">
        <f t="shared" ca="1" si="26"/>
        <v>148.14893712415281</v>
      </c>
      <c r="N313" s="18">
        <f t="shared" ca="1" si="25"/>
        <v>0</v>
      </c>
    </row>
    <row r="314" spans="10:14" x14ac:dyDescent="0.25">
      <c r="J314" s="16">
        <f t="shared" ca="1" si="22"/>
        <v>8.7196861556221616</v>
      </c>
      <c r="K314" s="16">
        <f t="shared" ca="1" si="23"/>
        <v>41.793522699723312</v>
      </c>
      <c r="L314" s="17">
        <f t="shared" si="24"/>
        <v>0.90476190476190477</v>
      </c>
      <c r="M314" s="16">
        <f t="shared" ca="1" si="26"/>
        <v>329.71912496712861</v>
      </c>
      <c r="N314" s="18">
        <f t="shared" ca="1" si="25"/>
        <v>1</v>
      </c>
    </row>
    <row r="315" spans="10:14" x14ac:dyDescent="0.25">
      <c r="J315" s="16">
        <f t="shared" ca="1" si="22"/>
        <v>8.7018427977494603</v>
      </c>
      <c r="K315" s="16">
        <f t="shared" ca="1" si="23"/>
        <v>38.578835403186304</v>
      </c>
      <c r="L315" s="17">
        <f t="shared" si="24"/>
        <v>0.90476190476190477</v>
      </c>
      <c r="M315" s="16">
        <f t="shared" ca="1" si="26"/>
        <v>303.73486947508542</v>
      </c>
      <c r="N315" s="18">
        <f t="shared" ca="1" si="25"/>
        <v>1</v>
      </c>
    </row>
    <row r="316" spans="10:14" x14ac:dyDescent="0.25">
      <c r="J316" s="16">
        <f t="shared" ca="1" si="22"/>
        <v>11.906306502011724</v>
      </c>
      <c r="K316" s="16">
        <f t="shared" ca="1" si="23"/>
        <v>34.364844687340295</v>
      </c>
      <c r="L316" s="17">
        <f t="shared" si="24"/>
        <v>0.90476190476190477</v>
      </c>
      <c r="M316" s="16">
        <f t="shared" ca="1" si="26"/>
        <v>370.19090957564538</v>
      </c>
      <c r="N316" s="18">
        <f t="shared" ca="1" si="25"/>
        <v>1</v>
      </c>
    </row>
    <row r="317" spans="10:14" x14ac:dyDescent="0.25">
      <c r="J317" s="16">
        <f t="shared" ca="1" si="22"/>
        <v>4.0989268323243735</v>
      </c>
      <c r="K317" s="16">
        <f t="shared" ca="1" si="23"/>
        <v>26.233302491935625</v>
      </c>
      <c r="L317" s="17">
        <f t="shared" si="24"/>
        <v>0.90476190476190477</v>
      </c>
      <c r="M317" s="16">
        <f t="shared" ca="1" si="26"/>
        <v>97.28758867661233</v>
      </c>
      <c r="N317" s="18">
        <f t="shared" ca="1" si="25"/>
        <v>0</v>
      </c>
    </row>
    <row r="318" spans="10:14" x14ac:dyDescent="0.25">
      <c r="J318" s="16">
        <f t="shared" ca="1" si="22"/>
        <v>7.0374222974222214</v>
      </c>
      <c r="K318" s="16">
        <f t="shared" ca="1" si="23"/>
        <v>33.86179892445049</v>
      </c>
      <c r="L318" s="17">
        <f t="shared" si="24"/>
        <v>0.90476190476190477</v>
      </c>
      <c r="M318" s="16">
        <f t="shared" ca="1" si="26"/>
        <v>215.6045617549218</v>
      </c>
      <c r="N318" s="18">
        <f t="shared" ca="1" si="25"/>
        <v>0</v>
      </c>
    </row>
    <row r="319" spans="10:14" x14ac:dyDescent="0.25">
      <c r="J319" s="16">
        <f t="shared" ca="1" si="22"/>
        <v>12.964154420136738</v>
      </c>
      <c r="K319" s="16">
        <f t="shared" ca="1" si="23"/>
        <v>36.986041333950233</v>
      </c>
      <c r="L319" s="17">
        <f t="shared" si="24"/>
        <v>0.90476190476190477</v>
      </c>
      <c r="M319" s="16">
        <f t="shared" ca="1" si="26"/>
        <v>433.82677493404424</v>
      </c>
      <c r="N319" s="18">
        <f t="shared" ca="1" si="25"/>
        <v>1</v>
      </c>
    </row>
    <row r="320" spans="10:14" x14ac:dyDescent="0.25">
      <c r="J320" s="16">
        <f t="shared" ca="1" si="22"/>
        <v>3.5198171758460934</v>
      </c>
      <c r="K320" s="16">
        <f t="shared" ca="1" si="23"/>
        <v>20.489210211434276</v>
      </c>
      <c r="L320" s="17">
        <f t="shared" si="24"/>
        <v>0.90476190476190477</v>
      </c>
      <c r="M320" s="16">
        <f t="shared" ca="1" si="26"/>
        <v>65.2498669720392</v>
      </c>
      <c r="N320" s="18">
        <f t="shared" ca="1" si="25"/>
        <v>0</v>
      </c>
    </row>
    <row r="321" spans="10:14" x14ac:dyDescent="0.25">
      <c r="J321" s="16">
        <f t="shared" ca="1" si="22"/>
        <v>10.352457992790386</v>
      </c>
      <c r="K321" s="16">
        <f t="shared" ca="1" si="23"/>
        <v>42.000629179602853</v>
      </c>
      <c r="L321" s="17">
        <f t="shared" si="24"/>
        <v>0.90476190476190477</v>
      </c>
      <c r="M321" s="16">
        <f t="shared" ca="1" si="26"/>
        <v>393.39929694283279</v>
      </c>
      <c r="N321" s="18">
        <f t="shared" ca="1" si="25"/>
        <v>1</v>
      </c>
    </row>
    <row r="322" spans="10:14" x14ac:dyDescent="0.25">
      <c r="J322" s="16">
        <f t="shared" ca="1" si="22"/>
        <v>5.2543221700230607</v>
      </c>
      <c r="K322" s="16">
        <f t="shared" ca="1" si="23"/>
        <v>42.757233033966372</v>
      </c>
      <c r="L322" s="17">
        <f t="shared" si="24"/>
        <v>0.90476190476190477</v>
      </c>
      <c r="M322" s="16">
        <f t="shared" ca="1" si="26"/>
        <v>203.26406055833456</v>
      </c>
      <c r="N322" s="18">
        <f t="shared" ca="1" si="25"/>
        <v>0</v>
      </c>
    </row>
    <row r="323" spans="10:14" x14ac:dyDescent="0.25">
      <c r="J323" s="16">
        <f t="shared" ca="1" si="22"/>
        <v>10.323718850280498</v>
      </c>
      <c r="K323" s="16">
        <f t="shared" ca="1" si="23"/>
        <v>21.01772293289838</v>
      </c>
      <c r="L323" s="17">
        <f t="shared" si="24"/>
        <v>0.90476190476190477</v>
      </c>
      <c r="M323" s="16">
        <f t="shared" ca="1" si="26"/>
        <v>196.31619934354183</v>
      </c>
      <c r="N323" s="18">
        <f t="shared" ca="1" si="25"/>
        <v>0</v>
      </c>
    </row>
    <row r="324" spans="10:14" x14ac:dyDescent="0.25">
      <c r="J324" s="16">
        <f t="shared" ref="J324:J387" ca="1" si="27">$D$2*(-LN(1-RAND()))^(1/$D$3)</f>
        <v>3.6162898009699607</v>
      </c>
      <c r="K324" s="16">
        <f t="shared" ref="K324:K387" ca="1" si="28">RAND()*($H$3-$H$2)+$H$2</f>
        <v>22.87492033995353</v>
      </c>
      <c r="L324" s="17">
        <f t="shared" ref="L324:L387" si="29">$D$22</f>
        <v>0.90476190476190477</v>
      </c>
      <c r="M324" s="16">
        <f t="shared" ca="1" si="26"/>
        <v>74.844022921148138</v>
      </c>
      <c r="N324" s="18">
        <f t="shared" ref="N324:N387" ca="1" si="30">IF(M324&gt;$R$2,1,0)</f>
        <v>0</v>
      </c>
    </row>
    <row r="325" spans="10:14" x14ac:dyDescent="0.25">
      <c r="J325" s="16">
        <f t="shared" ca="1" si="27"/>
        <v>9.033462723812157</v>
      </c>
      <c r="K325" s="16">
        <f t="shared" ca="1" si="28"/>
        <v>44.619963674924179</v>
      </c>
      <c r="L325" s="17">
        <f t="shared" si="29"/>
        <v>0.90476190476190477</v>
      </c>
      <c r="M325" s="16">
        <f t="shared" ca="1" si="26"/>
        <v>364.68489491953909</v>
      </c>
      <c r="N325" s="18">
        <f t="shared" ca="1" si="30"/>
        <v>1</v>
      </c>
    </row>
    <row r="326" spans="10:14" x14ac:dyDescent="0.25">
      <c r="J326" s="16">
        <f t="shared" ca="1" si="27"/>
        <v>9.835371150502942</v>
      </c>
      <c r="K326" s="16">
        <f t="shared" ca="1" si="28"/>
        <v>27.784486364464595</v>
      </c>
      <c r="L326" s="17">
        <f t="shared" si="29"/>
        <v>0.90476190476190477</v>
      </c>
      <c r="M326" s="16">
        <f t="shared" ca="1" si="26"/>
        <v>247.24495127577865</v>
      </c>
      <c r="N326" s="18">
        <f t="shared" ca="1" si="30"/>
        <v>1</v>
      </c>
    </row>
    <row r="327" spans="10:14" x14ac:dyDescent="0.25">
      <c r="J327" s="16">
        <f t="shared" ca="1" si="27"/>
        <v>6.6358471139262045</v>
      </c>
      <c r="K327" s="16">
        <f t="shared" ca="1" si="28"/>
        <v>44.458355969806647</v>
      </c>
      <c r="L327" s="17">
        <f t="shared" si="29"/>
        <v>0.90476190476190477</v>
      </c>
      <c r="M327" s="16">
        <f t="shared" ca="1" si="26"/>
        <v>266.92181951860761</v>
      </c>
      <c r="N327" s="18">
        <f t="shared" ca="1" si="30"/>
        <v>1</v>
      </c>
    </row>
    <row r="328" spans="10:14" x14ac:dyDescent="0.25">
      <c r="J328" s="16">
        <f t="shared" ca="1" si="27"/>
        <v>8.9789365351662465</v>
      </c>
      <c r="K328" s="16">
        <f t="shared" ca="1" si="28"/>
        <v>24.657621704840171</v>
      </c>
      <c r="L328" s="17">
        <f t="shared" si="29"/>
        <v>0.90476190476190477</v>
      </c>
      <c r="M328" s="16">
        <f t="shared" ca="1" si="26"/>
        <v>200.31358035819309</v>
      </c>
      <c r="N328" s="18">
        <f t="shared" ca="1" si="30"/>
        <v>0</v>
      </c>
    </row>
    <row r="329" spans="10:14" x14ac:dyDescent="0.25">
      <c r="J329" s="16">
        <f t="shared" ca="1" si="27"/>
        <v>11.024101871053539</v>
      </c>
      <c r="K329" s="16">
        <f t="shared" ca="1" si="28"/>
        <v>33.960078637087392</v>
      </c>
      <c r="L329" s="17">
        <f t="shared" si="29"/>
        <v>0.90476190476190477</v>
      </c>
      <c r="M329" s="16">
        <f t="shared" ca="1" si="26"/>
        <v>338.72418868764612</v>
      </c>
      <c r="N329" s="18">
        <f t="shared" ca="1" si="30"/>
        <v>1</v>
      </c>
    </row>
    <row r="330" spans="10:14" x14ac:dyDescent="0.25">
      <c r="J330" s="16">
        <f t="shared" ca="1" si="27"/>
        <v>9.4384156019156542</v>
      </c>
      <c r="K330" s="16">
        <f t="shared" ca="1" si="28"/>
        <v>35.155001240349307</v>
      </c>
      <c r="L330" s="17">
        <f t="shared" si="29"/>
        <v>0.90476190476190477</v>
      </c>
      <c r="M330" s="16">
        <f t="shared" ca="1" si="26"/>
        <v>300.20679674539355</v>
      </c>
      <c r="N330" s="18">
        <f t="shared" ca="1" si="30"/>
        <v>1</v>
      </c>
    </row>
    <row r="331" spans="10:14" x14ac:dyDescent="0.25">
      <c r="J331" s="16">
        <f t="shared" ca="1" si="27"/>
        <v>9.426975135696761</v>
      </c>
      <c r="K331" s="16">
        <f t="shared" ca="1" si="28"/>
        <v>42.866740565884257</v>
      </c>
      <c r="L331" s="17">
        <f t="shared" si="29"/>
        <v>0.90476190476190477</v>
      </c>
      <c r="M331" s="16">
        <f t="shared" ca="1" si="26"/>
        <v>365.61763103791128</v>
      </c>
      <c r="N331" s="18">
        <f t="shared" ca="1" si="30"/>
        <v>1</v>
      </c>
    </row>
    <row r="332" spans="10:14" x14ac:dyDescent="0.25">
      <c r="J332" s="16">
        <f t="shared" ca="1" si="27"/>
        <v>9.6504600710693342</v>
      </c>
      <c r="K332" s="16">
        <f t="shared" ca="1" si="28"/>
        <v>29.08253143394105</v>
      </c>
      <c r="L332" s="17">
        <f t="shared" si="29"/>
        <v>0.90476190476190477</v>
      </c>
      <c r="M332" s="16">
        <f t="shared" ca="1" si="26"/>
        <v>253.93030280992718</v>
      </c>
      <c r="N332" s="18">
        <f t="shared" ca="1" si="30"/>
        <v>1</v>
      </c>
    </row>
    <row r="333" spans="10:14" x14ac:dyDescent="0.25">
      <c r="J333" s="16">
        <f t="shared" ca="1" si="27"/>
        <v>9.0986699839516181</v>
      </c>
      <c r="K333" s="16">
        <f t="shared" ca="1" si="28"/>
        <v>20.907969139818636</v>
      </c>
      <c r="L333" s="17">
        <f t="shared" si="29"/>
        <v>0.90476190476190477</v>
      </c>
      <c r="M333" s="16">
        <f t="shared" ca="1" si="26"/>
        <v>172.11711969139222</v>
      </c>
      <c r="N333" s="18">
        <f t="shared" ca="1" si="30"/>
        <v>0</v>
      </c>
    </row>
    <row r="334" spans="10:14" x14ac:dyDescent="0.25">
      <c r="J334" s="16">
        <f t="shared" ca="1" si="27"/>
        <v>8.8977372613237158</v>
      </c>
      <c r="K334" s="16">
        <f t="shared" ca="1" si="28"/>
        <v>36.112385491762808</v>
      </c>
      <c r="L334" s="17">
        <f t="shared" si="29"/>
        <v>0.90476190476190477</v>
      </c>
      <c r="M334" s="16">
        <f t="shared" ca="1" si="26"/>
        <v>290.71675436769209</v>
      </c>
      <c r="N334" s="18">
        <f t="shared" ca="1" si="30"/>
        <v>1</v>
      </c>
    </row>
    <row r="335" spans="10:14" x14ac:dyDescent="0.25">
      <c r="J335" s="16">
        <f t="shared" ca="1" si="27"/>
        <v>7.015844488392025</v>
      </c>
      <c r="K335" s="16">
        <f t="shared" ca="1" si="28"/>
        <v>20.715185700247172</v>
      </c>
      <c r="L335" s="17">
        <f t="shared" si="29"/>
        <v>0.90476190476190477</v>
      </c>
      <c r="M335" s="16">
        <f t="shared" ca="1" si="26"/>
        <v>131.49313842861105</v>
      </c>
      <c r="N335" s="18">
        <f t="shared" ca="1" si="30"/>
        <v>0</v>
      </c>
    </row>
    <row r="336" spans="10:14" x14ac:dyDescent="0.25">
      <c r="J336" s="16">
        <f t="shared" ca="1" si="27"/>
        <v>6.059396608959517</v>
      </c>
      <c r="K336" s="16">
        <f t="shared" ca="1" si="28"/>
        <v>35.485469755383015</v>
      </c>
      <c r="L336" s="17">
        <f t="shared" si="29"/>
        <v>0.90476190476190477</v>
      </c>
      <c r="M336" s="16">
        <f t="shared" ca="1" si="26"/>
        <v>194.5423889028078</v>
      </c>
      <c r="N336" s="18">
        <f t="shared" ca="1" si="30"/>
        <v>0</v>
      </c>
    </row>
    <row r="337" spans="10:14" x14ac:dyDescent="0.25">
      <c r="J337" s="16">
        <f t="shared" ca="1" si="27"/>
        <v>4.1137497026575334</v>
      </c>
      <c r="K337" s="16">
        <f t="shared" ca="1" si="28"/>
        <v>39.658201389987433</v>
      </c>
      <c r="L337" s="17">
        <f t="shared" si="29"/>
        <v>0.90476190476190477</v>
      </c>
      <c r="M337" s="16">
        <f t="shared" ca="1" si="26"/>
        <v>147.6063985401845</v>
      </c>
      <c r="N337" s="18">
        <f t="shared" ca="1" si="30"/>
        <v>0</v>
      </c>
    </row>
    <row r="338" spans="10:14" x14ac:dyDescent="0.25">
      <c r="J338" s="16">
        <f t="shared" ca="1" si="27"/>
        <v>6.316396635939312</v>
      </c>
      <c r="K338" s="16">
        <f t="shared" ca="1" si="28"/>
        <v>36.041442269296702</v>
      </c>
      <c r="L338" s="17">
        <f t="shared" si="29"/>
        <v>0.90476190476190477</v>
      </c>
      <c r="M338" s="16">
        <f t="shared" ca="1" si="26"/>
        <v>205.97089758950216</v>
      </c>
      <c r="N338" s="18">
        <f t="shared" ca="1" si="30"/>
        <v>0</v>
      </c>
    </row>
    <row r="339" spans="10:14" x14ac:dyDescent="0.25">
      <c r="J339" s="16">
        <f t="shared" ca="1" si="27"/>
        <v>1.9494593523795252</v>
      </c>
      <c r="K339" s="16">
        <f t="shared" ca="1" si="28"/>
        <v>37.674562096172487</v>
      </c>
      <c r="L339" s="17">
        <f t="shared" si="29"/>
        <v>0.90476190476190477</v>
      </c>
      <c r="M339" s="16">
        <f t="shared" ref="M339:M402" ca="1" si="31">J339*K339*L339</f>
        <v>66.450262908502182</v>
      </c>
      <c r="N339" s="18">
        <f t="shared" ca="1" si="30"/>
        <v>0</v>
      </c>
    </row>
    <row r="340" spans="10:14" x14ac:dyDescent="0.25">
      <c r="J340" s="16">
        <f t="shared" ca="1" si="27"/>
        <v>10.957045565215285</v>
      </c>
      <c r="K340" s="16">
        <f t="shared" ca="1" si="28"/>
        <v>22.690774425998402</v>
      </c>
      <c r="L340" s="17">
        <f t="shared" si="29"/>
        <v>0.90476190476190477</v>
      </c>
      <c r="M340" s="16">
        <f t="shared" ca="1" si="31"/>
        <v>224.94538745800179</v>
      </c>
      <c r="N340" s="18">
        <f t="shared" ca="1" si="30"/>
        <v>0</v>
      </c>
    </row>
    <row r="341" spans="10:14" x14ac:dyDescent="0.25">
      <c r="J341" s="16">
        <f t="shared" ca="1" si="27"/>
        <v>7.4991715015557832</v>
      </c>
      <c r="K341" s="16">
        <f t="shared" ca="1" si="28"/>
        <v>42.569979214021416</v>
      </c>
      <c r="L341" s="17">
        <f t="shared" si="29"/>
        <v>0.90476190476190477</v>
      </c>
      <c r="M341" s="16">
        <f t="shared" ca="1" si="31"/>
        <v>288.83580590136273</v>
      </c>
      <c r="N341" s="18">
        <f t="shared" ca="1" si="30"/>
        <v>1</v>
      </c>
    </row>
    <row r="342" spans="10:14" x14ac:dyDescent="0.25">
      <c r="J342" s="16">
        <f t="shared" ca="1" si="27"/>
        <v>5.5012466178147719</v>
      </c>
      <c r="K342" s="16">
        <f t="shared" ca="1" si="28"/>
        <v>23.489853969354463</v>
      </c>
      <c r="L342" s="17">
        <f t="shared" si="29"/>
        <v>0.90476190476190477</v>
      </c>
      <c r="M342" s="16">
        <f t="shared" ca="1" si="31"/>
        <v>116.91648163502899</v>
      </c>
      <c r="N342" s="18">
        <f t="shared" ca="1" si="30"/>
        <v>0</v>
      </c>
    </row>
    <row r="343" spans="10:14" x14ac:dyDescent="0.25">
      <c r="J343" s="16">
        <f t="shared" ca="1" si="27"/>
        <v>5.7212231405844536</v>
      </c>
      <c r="K343" s="16">
        <f t="shared" ca="1" si="28"/>
        <v>39.028829780526493</v>
      </c>
      <c r="L343" s="17">
        <f t="shared" si="29"/>
        <v>0.90476190476190477</v>
      </c>
      <c r="M343" s="16">
        <f t="shared" ca="1" si="31"/>
        <v>202.02667798644364</v>
      </c>
      <c r="N343" s="18">
        <f t="shared" ca="1" si="30"/>
        <v>0</v>
      </c>
    </row>
    <row r="344" spans="10:14" x14ac:dyDescent="0.25">
      <c r="J344" s="16">
        <f t="shared" ca="1" si="27"/>
        <v>9.881198892804294</v>
      </c>
      <c r="K344" s="16">
        <f t="shared" ca="1" si="28"/>
        <v>33.845995352314198</v>
      </c>
      <c r="L344" s="17">
        <f t="shared" si="29"/>
        <v>0.90476190476190477</v>
      </c>
      <c r="M344" s="16">
        <f t="shared" ca="1" si="31"/>
        <v>302.58767734389426</v>
      </c>
      <c r="N344" s="18">
        <f t="shared" ca="1" si="30"/>
        <v>1</v>
      </c>
    </row>
    <row r="345" spans="10:14" x14ac:dyDescent="0.25">
      <c r="J345" s="16">
        <f t="shared" ca="1" si="27"/>
        <v>2.9200637188105398</v>
      </c>
      <c r="K345" s="16">
        <f t="shared" ca="1" si="28"/>
        <v>27.18648563225868</v>
      </c>
      <c r="L345" s="17">
        <f t="shared" si="29"/>
        <v>0.90476190476190477</v>
      </c>
      <c r="M345" s="16">
        <f t="shared" ca="1" si="31"/>
        <v>71.82567316179663</v>
      </c>
      <c r="N345" s="18">
        <f t="shared" ca="1" si="30"/>
        <v>0</v>
      </c>
    </row>
    <row r="346" spans="10:14" x14ac:dyDescent="0.25">
      <c r="J346" s="16">
        <f t="shared" ca="1" si="27"/>
        <v>5.4119596777614278</v>
      </c>
      <c r="K346" s="16">
        <f t="shared" ca="1" si="28"/>
        <v>28.0944171948756</v>
      </c>
      <c r="L346" s="17">
        <f t="shared" si="29"/>
        <v>0.90476190476190477</v>
      </c>
      <c r="M346" s="16">
        <f t="shared" ca="1" si="31"/>
        <v>137.56529559755273</v>
      </c>
      <c r="N346" s="18">
        <f t="shared" ca="1" si="30"/>
        <v>0</v>
      </c>
    </row>
    <row r="347" spans="10:14" x14ac:dyDescent="0.25">
      <c r="J347" s="16">
        <f t="shared" ca="1" si="27"/>
        <v>6.6158932125777028</v>
      </c>
      <c r="K347" s="16">
        <f t="shared" ca="1" si="28"/>
        <v>30.466082784769096</v>
      </c>
      <c r="L347" s="17">
        <f t="shared" si="29"/>
        <v>0.90476190476190477</v>
      </c>
      <c r="M347" s="16">
        <f t="shared" ca="1" si="31"/>
        <v>182.36412647057625</v>
      </c>
      <c r="N347" s="18">
        <f t="shared" ca="1" si="30"/>
        <v>0</v>
      </c>
    </row>
    <row r="348" spans="10:14" x14ac:dyDescent="0.25">
      <c r="J348" s="16">
        <f t="shared" ca="1" si="27"/>
        <v>11.770432929416938</v>
      </c>
      <c r="K348" s="16">
        <f t="shared" ca="1" si="28"/>
        <v>23.203728162108412</v>
      </c>
      <c r="L348" s="17">
        <f t="shared" si="29"/>
        <v>0.90476190476190477</v>
      </c>
      <c r="M348" s="16">
        <f t="shared" ca="1" si="31"/>
        <v>247.10669499266095</v>
      </c>
      <c r="N348" s="18">
        <f t="shared" ca="1" si="30"/>
        <v>1</v>
      </c>
    </row>
    <row r="349" spans="10:14" x14ac:dyDescent="0.25">
      <c r="J349" s="16">
        <f t="shared" ca="1" si="27"/>
        <v>9.7746307277378008</v>
      </c>
      <c r="K349" s="16">
        <f t="shared" ca="1" si="28"/>
        <v>38.029837179100568</v>
      </c>
      <c r="L349" s="17">
        <f t="shared" si="29"/>
        <v>0.90476190476190477</v>
      </c>
      <c r="M349" s="16">
        <f t="shared" ca="1" si="31"/>
        <v>336.32498505582549</v>
      </c>
      <c r="N349" s="18">
        <f t="shared" ca="1" si="30"/>
        <v>1</v>
      </c>
    </row>
    <row r="350" spans="10:14" x14ac:dyDescent="0.25">
      <c r="J350" s="16">
        <f t="shared" ca="1" si="27"/>
        <v>7.9140753549639768</v>
      </c>
      <c r="K350" s="16">
        <f t="shared" ca="1" si="28"/>
        <v>25.959623673269093</v>
      </c>
      <c r="L350" s="17">
        <f t="shared" si="29"/>
        <v>0.90476190476190477</v>
      </c>
      <c r="M350" s="16">
        <f t="shared" ca="1" si="31"/>
        <v>185.88009241897183</v>
      </c>
      <c r="N350" s="18">
        <f t="shared" ca="1" si="30"/>
        <v>0</v>
      </c>
    </row>
    <row r="351" spans="10:14" x14ac:dyDescent="0.25">
      <c r="J351" s="16">
        <f t="shared" ca="1" si="27"/>
        <v>10.367426381632672</v>
      </c>
      <c r="K351" s="16">
        <f t="shared" ca="1" si="28"/>
        <v>27.576911516028737</v>
      </c>
      <c r="L351" s="17">
        <f t="shared" si="29"/>
        <v>0.90476190476190477</v>
      </c>
      <c r="M351" s="16">
        <f t="shared" ca="1" si="31"/>
        <v>258.6728761680618</v>
      </c>
      <c r="N351" s="18">
        <f t="shared" ca="1" si="30"/>
        <v>1</v>
      </c>
    </row>
    <row r="352" spans="10:14" x14ac:dyDescent="0.25">
      <c r="J352" s="16">
        <f t="shared" ca="1" si="27"/>
        <v>4.0522598175756857</v>
      </c>
      <c r="K352" s="16">
        <f t="shared" ca="1" si="28"/>
        <v>28.021218728295459</v>
      </c>
      <c r="L352" s="17">
        <f t="shared" si="29"/>
        <v>0.90476190476190477</v>
      </c>
      <c r="M352" s="16">
        <f t="shared" ca="1" si="31"/>
        <v>102.73504357863085</v>
      </c>
      <c r="N352" s="18">
        <f t="shared" ca="1" si="30"/>
        <v>0</v>
      </c>
    </row>
    <row r="353" spans="10:14" x14ac:dyDescent="0.25">
      <c r="J353" s="16">
        <f t="shared" ca="1" si="27"/>
        <v>12.393898681555568</v>
      </c>
      <c r="K353" s="16">
        <f t="shared" ca="1" si="28"/>
        <v>30.485649790665565</v>
      </c>
      <c r="L353" s="17">
        <f t="shared" si="29"/>
        <v>0.90476190476190477</v>
      </c>
      <c r="M353" s="16">
        <f t="shared" ca="1" si="31"/>
        <v>341.85166858052378</v>
      </c>
      <c r="N353" s="18">
        <f t="shared" ca="1" si="30"/>
        <v>1</v>
      </c>
    </row>
    <row r="354" spans="10:14" x14ac:dyDescent="0.25">
      <c r="J354" s="16">
        <f t="shared" ca="1" si="27"/>
        <v>3.8208416389028561</v>
      </c>
      <c r="K354" s="16">
        <f t="shared" ca="1" si="28"/>
        <v>33.19471211467706</v>
      </c>
      <c r="L354" s="17">
        <f t="shared" si="29"/>
        <v>0.90476190476190477</v>
      </c>
      <c r="M354" s="16">
        <f t="shared" ca="1" si="31"/>
        <v>114.75252507351775</v>
      </c>
      <c r="N354" s="18">
        <f t="shared" ca="1" si="30"/>
        <v>0</v>
      </c>
    </row>
    <row r="355" spans="10:14" x14ac:dyDescent="0.25">
      <c r="J355" s="16">
        <f t="shared" ca="1" si="27"/>
        <v>9.7851811647320961</v>
      </c>
      <c r="K355" s="16">
        <f t="shared" ca="1" si="28"/>
        <v>21.097376461650722</v>
      </c>
      <c r="L355" s="17">
        <f t="shared" si="29"/>
        <v>0.90476190476190477</v>
      </c>
      <c r="M355" s="16">
        <f t="shared" ca="1" si="31"/>
        <v>186.78054117992056</v>
      </c>
      <c r="N355" s="18">
        <f t="shared" ca="1" si="30"/>
        <v>0</v>
      </c>
    </row>
    <row r="356" spans="10:14" x14ac:dyDescent="0.25">
      <c r="J356" s="16">
        <f t="shared" ca="1" si="27"/>
        <v>11.101092807086529</v>
      </c>
      <c r="K356" s="16">
        <f t="shared" ca="1" si="28"/>
        <v>42.114421585883989</v>
      </c>
      <c r="L356" s="17">
        <f t="shared" si="29"/>
        <v>0.90476190476190477</v>
      </c>
      <c r="M356" s="16">
        <f t="shared" ca="1" si="31"/>
        <v>422.99075944246005</v>
      </c>
      <c r="N356" s="18">
        <f t="shared" ca="1" si="30"/>
        <v>1</v>
      </c>
    </row>
    <row r="357" spans="10:14" x14ac:dyDescent="0.25">
      <c r="J357" s="16">
        <f t="shared" ca="1" si="27"/>
        <v>7.1996188072396681</v>
      </c>
      <c r="K357" s="16">
        <f t="shared" ca="1" si="28"/>
        <v>41.585777317090304</v>
      </c>
      <c r="L357" s="17">
        <f t="shared" si="29"/>
        <v>0.90476190476190477</v>
      </c>
      <c r="M357" s="16">
        <f t="shared" ca="1" si="31"/>
        <v>270.88729263001329</v>
      </c>
      <c r="N357" s="18">
        <f t="shared" ca="1" si="30"/>
        <v>1</v>
      </c>
    </row>
    <row r="358" spans="10:14" x14ac:dyDescent="0.25">
      <c r="J358" s="16">
        <f t="shared" ca="1" si="27"/>
        <v>6.2465111819078514</v>
      </c>
      <c r="K358" s="16">
        <f t="shared" ca="1" si="28"/>
        <v>23.554655687747562</v>
      </c>
      <c r="L358" s="17">
        <f t="shared" si="29"/>
        <v>0.90476190476190477</v>
      </c>
      <c r="M358" s="16">
        <f t="shared" ca="1" si="31"/>
        <v>133.12161822145649</v>
      </c>
      <c r="N358" s="18">
        <f t="shared" ca="1" si="30"/>
        <v>0</v>
      </c>
    </row>
    <row r="359" spans="10:14" x14ac:dyDescent="0.25">
      <c r="J359" s="16">
        <f t="shared" ca="1" si="27"/>
        <v>8.0002242388749707</v>
      </c>
      <c r="K359" s="16">
        <f t="shared" ca="1" si="28"/>
        <v>38.027475540276498</v>
      </c>
      <c r="L359" s="17">
        <f t="shared" si="29"/>
        <v>0.90476190476190477</v>
      </c>
      <c r="M359" s="16">
        <f t="shared" ca="1" si="31"/>
        <v>275.25420474525509</v>
      </c>
      <c r="N359" s="18">
        <f t="shared" ca="1" si="30"/>
        <v>1</v>
      </c>
    </row>
    <row r="360" spans="10:14" x14ac:dyDescent="0.25">
      <c r="J360" s="16">
        <f t="shared" ca="1" si="27"/>
        <v>9.6205477406467619</v>
      </c>
      <c r="K360" s="16">
        <f t="shared" ca="1" si="28"/>
        <v>21.046443784740045</v>
      </c>
      <c r="L360" s="17">
        <f t="shared" si="29"/>
        <v>0.90476190476190477</v>
      </c>
      <c r="M360" s="16">
        <f t="shared" ca="1" si="31"/>
        <v>183.19466794460328</v>
      </c>
      <c r="N360" s="18">
        <f t="shared" ca="1" si="30"/>
        <v>0</v>
      </c>
    </row>
    <row r="361" spans="10:14" x14ac:dyDescent="0.25">
      <c r="J361" s="16">
        <f t="shared" ca="1" si="27"/>
        <v>6.7732375931759004</v>
      </c>
      <c r="K361" s="16">
        <f t="shared" ca="1" si="28"/>
        <v>32.560934663769352</v>
      </c>
      <c r="L361" s="17">
        <f t="shared" si="29"/>
        <v>0.90476190476190477</v>
      </c>
      <c r="M361" s="16">
        <f t="shared" ca="1" si="31"/>
        <v>199.53885656848334</v>
      </c>
      <c r="N361" s="18">
        <f t="shared" ca="1" si="30"/>
        <v>0</v>
      </c>
    </row>
    <row r="362" spans="10:14" x14ac:dyDescent="0.25">
      <c r="J362" s="16">
        <f t="shared" ca="1" si="27"/>
        <v>7.1176919651183361</v>
      </c>
      <c r="K362" s="16">
        <f t="shared" ca="1" si="28"/>
        <v>25.820297886024889</v>
      </c>
      <c r="L362" s="17">
        <f t="shared" si="29"/>
        <v>0.90476190476190477</v>
      </c>
      <c r="M362" s="16">
        <f t="shared" ca="1" si="31"/>
        <v>166.27798139076691</v>
      </c>
      <c r="N362" s="18">
        <f t="shared" ca="1" si="30"/>
        <v>0</v>
      </c>
    </row>
    <row r="363" spans="10:14" x14ac:dyDescent="0.25">
      <c r="J363" s="16">
        <f t="shared" ca="1" si="27"/>
        <v>3.7195839685789753</v>
      </c>
      <c r="K363" s="16">
        <f t="shared" ca="1" si="28"/>
        <v>34.060606598192443</v>
      </c>
      <c r="L363" s="17">
        <f t="shared" si="29"/>
        <v>0.90476190476190477</v>
      </c>
      <c r="M363" s="16">
        <f t="shared" ca="1" si="31"/>
        <v>114.62544947578694</v>
      </c>
      <c r="N363" s="18">
        <f t="shared" ca="1" si="30"/>
        <v>0</v>
      </c>
    </row>
    <row r="364" spans="10:14" x14ac:dyDescent="0.25">
      <c r="J364" s="16">
        <f t="shared" ca="1" si="27"/>
        <v>11.008842832905765</v>
      </c>
      <c r="K364" s="16">
        <f t="shared" ca="1" si="28"/>
        <v>30.800760782328965</v>
      </c>
      <c r="L364" s="17">
        <f t="shared" si="29"/>
        <v>0.90476190476190477</v>
      </c>
      <c r="M364" s="16">
        <f t="shared" ca="1" si="31"/>
        <v>306.7873312926265</v>
      </c>
      <c r="N364" s="18">
        <f t="shared" ca="1" si="30"/>
        <v>1</v>
      </c>
    </row>
    <row r="365" spans="10:14" x14ac:dyDescent="0.25">
      <c r="J365" s="16">
        <f t="shared" ca="1" si="27"/>
        <v>10.809287631089111</v>
      </c>
      <c r="K365" s="16">
        <f t="shared" ca="1" si="28"/>
        <v>45.125584603713165</v>
      </c>
      <c r="L365" s="17">
        <f t="shared" si="29"/>
        <v>0.90476190476190477</v>
      </c>
      <c r="M365" s="16">
        <f t="shared" ca="1" si="31"/>
        <v>441.3206212642408</v>
      </c>
      <c r="N365" s="18">
        <f t="shared" ca="1" si="30"/>
        <v>1</v>
      </c>
    </row>
    <row r="366" spans="10:14" x14ac:dyDescent="0.25">
      <c r="J366" s="16">
        <f t="shared" ca="1" si="27"/>
        <v>9.9558511129948855</v>
      </c>
      <c r="K366" s="16">
        <f t="shared" ca="1" si="28"/>
        <v>21.030978604265989</v>
      </c>
      <c r="L366" s="17">
        <f t="shared" si="29"/>
        <v>0.90476190476190477</v>
      </c>
      <c r="M366" s="16">
        <f t="shared" ca="1" si="31"/>
        <v>189.4402163404005</v>
      </c>
      <c r="N366" s="18">
        <f t="shared" ca="1" si="30"/>
        <v>0</v>
      </c>
    </row>
    <row r="367" spans="10:14" x14ac:dyDescent="0.25">
      <c r="J367" s="16">
        <f t="shared" ca="1" si="27"/>
        <v>5.1975317350678782</v>
      </c>
      <c r="K367" s="16">
        <f t="shared" ca="1" si="28"/>
        <v>31.707332017130259</v>
      </c>
      <c r="L367" s="17">
        <f t="shared" si="29"/>
        <v>0.90476190476190477</v>
      </c>
      <c r="M367" s="16">
        <f t="shared" ca="1" si="31"/>
        <v>149.10463921304753</v>
      </c>
      <c r="N367" s="18">
        <f t="shared" ca="1" si="30"/>
        <v>0</v>
      </c>
    </row>
    <row r="368" spans="10:14" x14ac:dyDescent="0.25">
      <c r="J368" s="16">
        <f t="shared" ca="1" si="27"/>
        <v>5.9494738227984536</v>
      </c>
      <c r="K368" s="16">
        <f t="shared" ca="1" si="28"/>
        <v>39.584374674786631</v>
      </c>
      <c r="L368" s="17">
        <f t="shared" si="29"/>
        <v>0.90476190476190477</v>
      </c>
      <c r="M368" s="16">
        <f t="shared" ca="1" si="31"/>
        <v>213.07703892715682</v>
      </c>
      <c r="N368" s="18">
        <f t="shared" ca="1" si="30"/>
        <v>0</v>
      </c>
    </row>
    <row r="369" spans="10:14" x14ac:dyDescent="0.25">
      <c r="J369" s="16">
        <f t="shared" ca="1" si="27"/>
        <v>7.9763737061079256</v>
      </c>
      <c r="K369" s="16">
        <f t="shared" ca="1" si="28"/>
        <v>22.930986223682872</v>
      </c>
      <c r="L369" s="17">
        <f t="shared" si="29"/>
        <v>0.90476190476190477</v>
      </c>
      <c r="M369" s="16">
        <f t="shared" ca="1" si="31"/>
        <v>165.48648551544932</v>
      </c>
      <c r="N369" s="18">
        <f t="shared" ca="1" si="30"/>
        <v>0</v>
      </c>
    </row>
    <row r="370" spans="10:14" x14ac:dyDescent="0.25">
      <c r="J370" s="16">
        <f t="shared" ca="1" si="27"/>
        <v>8.1084562855101492</v>
      </c>
      <c r="K370" s="16">
        <f t="shared" ca="1" si="28"/>
        <v>44.751658333435273</v>
      </c>
      <c r="L370" s="17">
        <f t="shared" si="29"/>
        <v>0.90476190476190477</v>
      </c>
      <c r="M370" s="16">
        <f t="shared" ca="1" si="31"/>
        <v>328.30811622448437</v>
      </c>
      <c r="N370" s="18">
        <f t="shared" ca="1" si="30"/>
        <v>1</v>
      </c>
    </row>
    <row r="371" spans="10:14" x14ac:dyDescent="0.25">
      <c r="J371" s="16">
        <f t="shared" ca="1" si="27"/>
        <v>11.713379887858935</v>
      </c>
      <c r="K371" s="16">
        <f t="shared" ca="1" si="28"/>
        <v>43.286622609163402</v>
      </c>
      <c r="L371" s="17">
        <f t="shared" si="29"/>
        <v>0.90476190476190477</v>
      </c>
      <c r="M371" s="16">
        <f t="shared" ca="1" si="31"/>
        <v>458.74383042794159</v>
      </c>
      <c r="N371" s="18">
        <f t="shared" ca="1" si="30"/>
        <v>1</v>
      </c>
    </row>
    <row r="372" spans="10:14" x14ac:dyDescent="0.25">
      <c r="J372" s="16">
        <f t="shared" ca="1" si="27"/>
        <v>7.978775614648276</v>
      </c>
      <c r="K372" s="16">
        <f t="shared" ca="1" si="28"/>
        <v>40.386912055846814</v>
      </c>
      <c r="L372" s="17">
        <f t="shared" si="29"/>
        <v>0.90476190476190477</v>
      </c>
      <c r="M372" s="16">
        <f t="shared" ca="1" si="31"/>
        <v>291.5487653419317</v>
      </c>
      <c r="N372" s="18">
        <f t="shared" ca="1" si="30"/>
        <v>1</v>
      </c>
    </row>
    <row r="373" spans="10:14" x14ac:dyDescent="0.25">
      <c r="J373" s="16">
        <f t="shared" ca="1" si="27"/>
        <v>10.39849663344545</v>
      </c>
      <c r="K373" s="16">
        <f t="shared" ca="1" si="28"/>
        <v>25.383065129281054</v>
      </c>
      <c r="L373" s="17">
        <f t="shared" si="29"/>
        <v>0.90476190476190477</v>
      </c>
      <c r="M373" s="16">
        <f t="shared" ca="1" si="31"/>
        <v>238.80802993208368</v>
      </c>
      <c r="N373" s="18">
        <f t="shared" ca="1" si="30"/>
        <v>1</v>
      </c>
    </row>
    <row r="374" spans="10:14" x14ac:dyDescent="0.25">
      <c r="J374" s="16">
        <f t="shared" ca="1" si="27"/>
        <v>9.9629393216573039</v>
      </c>
      <c r="K374" s="16">
        <f t="shared" ca="1" si="28"/>
        <v>39.7261034744716</v>
      </c>
      <c r="L374" s="17">
        <f t="shared" si="29"/>
        <v>0.90476190476190477</v>
      </c>
      <c r="M374" s="16">
        <f t="shared" ca="1" si="31"/>
        <v>358.09459093517899</v>
      </c>
      <c r="N374" s="18">
        <f t="shared" ca="1" si="30"/>
        <v>1</v>
      </c>
    </row>
    <row r="375" spans="10:14" x14ac:dyDescent="0.25">
      <c r="J375" s="16">
        <f t="shared" ca="1" si="27"/>
        <v>10.505553815781418</v>
      </c>
      <c r="K375" s="16">
        <f t="shared" ca="1" si="28"/>
        <v>32.407049599349776</v>
      </c>
      <c r="L375" s="17">
        <f t="shared" si="29"/>
        <v>0.90476190476190477</v>
      </c>
      <c r="M375" s="16">
        <f t="shared" ca="1" si="31"/>
        <v>308.02981275984132</v>
      </c>
      <c r="N375" s="18">
        <f t="shared" ca="1" si="30"/>
        <v>1</v>
      </c>
    </row>
    <row r="376" spans="10:14" x14ac:dyDescent="0.25">
      <c r="J376" s="16">
        <f t="shared" ca="1" si="27"/>
        <v>9.4009866198159493</v>
      </c>
      <c r="K376" s="16">
        <f t="shared" ca="1" si="28"/>
        <v>33.916556889703578</v>
      </c>
      <c r="L376" s="17">
        <f t="shared" si="29"/>
        <v>0.90476190476190477</v>
      </c>
      <c r="M376" s="16">
        <f t="shared" ca="1" si="31"/>
        <v>288.48251679506029</v>
      </c>
      <c r="N376" s="18">
        <f t="shared" ca="1" si="30"/>
        <v>1</v>
      </c>
    </row>
    <row r="377" spans="10:14" x14ac:dyDescent="0.25">
      <c r="J377" s="16">
        <f t="shared" ca="1" si="27"/>
        <v>6.7287769684011511</v>
      </c>
      <c r="K377" s="16">
        <f t="shared" ca="1" si="28"/>
        <v>45.809752422859688</v>
      </c>
      <c r="L377" s="17">
        <f t="shared" si="29"/>
        <v>0.90476190476190477</v>
      </c>
      <c r="M377" s="16">
        <f t="shared" ca="1" si="31"/>
        <v>278.88707302813549</v>
      </c>
      <c r="N377" s="18">
        <f t="shared" ca="1" si="30"/>
        <v>1</v>
      </c>
    </row>
    <row r="378" spans="10:14" x14ac:dyDescent="0.25">
      <c r="J378" s="16">
        <f t="shared" ca="1" si="27"/>
        <v>8.3826066342078729</v>
      </c>
      <c r="K378" s="16">
        <f t="shared" ca="1" si="28"/>
        <v>28.744592265503513</v>
      </c>
      <c r="L378" s="17">
        <f t="shared" si="29"/>
        <v>0.90476190476190477</v>
      </c>
      <c r="M378" s="16">
        <f t="shared" ca="1" si="31"/>
        <v>218.00655174408527</v>
      </c>
      <c r="N378" s="18">
        <f t="shared" ca="1" si="30"/>
        <v>0</v>
      </c>
    </row>
    <row r="379" spans="10:14" x14ac:dyDescent="0.25">
      <c r="J379" s="16">
        <f t="shared" ca="1" si="27"/>
        <v>4.8917047766131176</v>
      </c>
      <c r="K379" s="16">
        <f t="shared" ca="1" si="28"/>
        <v>22.402289255014999</v>
      </c>
      <c r="L379" s="17">
        <f t="shared" si="29"/>
        <v>0.90476190476190477</v>
      </c>
      <c r="M379" s="16">
        <f t="shared" ca="1" si="31"/>
        <v>99.14868198860411</v>
      </c>
      <c r="N379" s="18">
        <f t="shared" ca="1" si="30"/>
        <v>0</v>
      </c>
    </row>
    <row r="380" spans="10:14" x14ac:dyDescent="0.25">
      <c r="J380" s="16">
        <f t="shared" ca="1" si="27"/>
        <v>12.718226737359496</v>
      </c>
      <c r="K380" s="16">
        <f t="shared" ca="1" si="28"/>
        <v>39.757576347876153</v>
      </c>
      <c r="L380" s="17">
        <f t="shared" si="29"/>
        <v>0.90476190476190477</v>
      </c>
      <c r="M380" s="16">
        <f t="shared" ca="1" si="31"/>
        <v>457.48912094682044</v>
      </c>
      <c r="N380" s="18">
        <f t="shared" ca="1" si="30"/>
        <v>1</v>
      </c>
    </row>
    <row r="381" spans="10:14" x14ac:dyDescent="0.25">
      <c r="J381" s="16">
        <f t="shared" ca="1" si="27"/>
        <v>12.927233490934913</v>
      </c>
      <c r="K381" s="16">
        <f t="shared" ca="1" si="28"/>
        <v>41.884454558906057</v>
      </c>
      <c r="L381" s="17">
        <f t="shared" si="29"/>
        <v>0.90476190476190477</v>
      </c>
      <c r="M381" s="16">
        <f t="shared" ca="1" si="31"/>
        <v>489.88344527358129</v>
      </c>
      <c r="N381" s="18">
        <f t="shared" ca="1" si="30"/>
        <v>1</v>
      </c>
    </row>
    <row r="382" spans="10:14" x14ac:dyDescent="0.25">
      <c r="J382" s="16">
        <f t="shared" ca="1" si="27"/>
        <v>10.020038419568534</v>
      </c>
      <c r="K382" s="16">
        <f t="shared" ca="1" si="28"/>
        <v>29.234406798710385</v>
      </c>
      <c r="L382" s="17">
        <f t="shared" si="29"/>
        <v>0.90476190476190477</v>
      </c>
      <c r="M382" s="16">
        <f t="shared" ca="1" si="31"/>
        <v>265.03179555386185</v>
      </c>
      <c r="N382" s="18">
        <f t="shared" ca="1" si="30"/>
        <v>1</v>
      </c>
    </row>
    <row r="383" spans="10:14" x14ac:dyDescent="0.25">
      <c r="J383" s="16">
        <f t="shared" ca="1" si="27"/>
        <v>11.469163609563783</v>
      </c>
      <c r="K383" s="16">
        <f t="shared" ca="1" si="28"/>
        <v>28.642743149715372</v>
      </c>
      <c r="L383" s="17">
        <f t="shared" si="29"/>
        <v>0.90476190476190477</v>
      </c>
      <c r="M383" s="16">
        <f t="shared" ca="1" si="31"/>
        <v>297.22180194310283</v>
      </c>
      <c r="N383" s="18">
        <f t="shared" ca="1" si="30"/>
        <v>1</v>
      </c>
    </row>
    <row r="384" spans="10:14" x14ac:dyDescent="0.25">
      <c r="J384" s="16">
        <f t="shared" ca="1" si="27"/>
        <v>4.0796919153541191</v>
      </c>
      <c r="K384" s="16">
        <f t="shared" ca="1" si="28"/>
        <v>45.342894855026898</v>
      </c>
      <c r="L384" s="17">
        <f t="shared" si="29"/>
        <v>0.90476190476190477</v>
      </c>
      <c r="M384" s="16">
        <f t="shared" ca="1" si="31"/>
        <v>167.36741855320463</v>
      </c>
      <c r="N384" s="18">
        <f t="shared" ca="1" si="30"/>
        <v>0</v>
      </c>
    </row>
    <row r="385" spans="10:14" x14ac:dyDescent="0.25">
      <c r="J385" s="16">
        <f t="shared" ca="1" si="27"/>
        <v>12.257136417253617</v>
      </c>
      <c r="K385" s="16">
        <f t="shared" ca="1" si="28"/>
        <v>34.645500079993205</v>
      </c>
      <c r="L385" s="17">
        <f t="shared" si="29"/>
        <v>0.90476190476190477</v>
      </c>
      <c r="M385" s="16">
        <f t="shared" ca="1" si="31"/>
        <v>384.2113235125957</v>
      </c>
      <c r="N385" s="18">
        <f t="shared" ca="1" si="30"/>
        <v>1</v>
      </c>
    </row>
    <row r="386" spans="10:14" x14ac:dyDescent="0.25">
      <c r="J386" s="16">
        <f t="shared" ca="1" si="27"/>
        <v>10.003322068277328</v>
      </c>
      <c r="K386" s="16">
        <f t="shared" ca="1" si="28"/>
        <v>28.020368106626698</v>
      </c>
      <c r="L386" s="17">
        <f t="shared" si="29"/>
        <v>0.90476190476190477</v>
      </c>
      <c r="M386" s="16">
        <f t="shared" ca="1" si="31"/>
        <v>253.60183648586607</v>
      </c>
      <c r="N386" s="18">
        <f t="shared" ca="1" si="30"/>
        <v>1</v>
      </c>
    </row>
    <row r="387" spans="10:14" x14ac:dyDescent="0.25">
      <c r="J387" s="16">
        <f t="shared" ca="1" si="27"/>
        <v>9.554250318368922</v>
      </c>
      <c r="K387" s="16">
        <f t="shared" ca="1" si="28"/>
        <v>34.980153571192631</v>
      </c>
      <c r="L387" s="17">
        <f t="shared" si="29"/>
        <v>0.90476190476190477</v>
      </c>
      <c r="M387" s="16">
        <f t="shared" ca="1" si="31"/>
        <v>302.37970116614565</v>
      </c>
      <c r="N387" s="18">
        <f t="shared" ca="1" si="30"/>
        <v>1</v>
      </c>
    </row>
    <row r="388" spans="10:14" x14ac:dyDescent="0.25">
      <c r="J388" s="16">
        <f t="shared" ref="J388:J451" ca="1" si="32">$D$2*(-LN(1-RAND()))^(1/$D$3)</f>
        <v>5.4982403189559106</v>
      </c>
      <c r="K388" s="16">
        <f t="shared" ref="K388:K451" ca="1" si="33">RAND()*($H$3-$H$2)+$H$2</f>
        <v>38.78476431300902</v>
      </c>
      <c r="L388" s="17">
        <f t="shared" ref="L388:L451" si="34">$D$22</f>
        <v>0.90476190476190477</v>
      </c>
      <c r="M388" s="16">
        <f t="shared" ca="1" si="31"/>
        <v>192.93862586822772</v>
      </c>
      <c r="N388" s="18">
        <f t="shared" ref="N388:N451" ca="1" si="35">IF(M388&gt;$R$2,1,0)</f>
        <v>0</v>
      </c>
    </row>
    <row r="389" spans="10:14" x14ac:dyDescent="0.25">
      <c r="J389" s="16">
        <f t="shared" ca="1" si="32"/>
        <v>5.2593480325534561</v>
      </c>
      <c r="K389" s="16">
        <f t="shared" ca="1" si="33"/>
        <v>20.516147847298157</v>
      </c>
      <c r="L389" s="17">
        <f t="shared" si="34"/>
        <v>0.90476190476190477</v>
      </c>
      <c r="M389" s="16">
        <f t="shared" ca="1" si="31"/>
        <v>97.62522259566687</v>
      </c>
      <c r="N389" s="18">
        <f t="shared" ca="1" si="35"/>
        <v>0</v>
      </c>
    </row>
    <row r="390" spans="10:14" x14ac:dyDescent="0.25">
      <c r="J390" s="16">
        <f t="shared" ca="1" si="32"/>
        <v>10.107458525871092</v>
      </c>
      <c r="K390" s="16">
        <f t="shared" ca="1" si="33"/>
        <v>25.820200933928323</v>
      </c>
      <c r="L390" s="17">
        <f t="shared" si="34"/>
        <v>0.90476190476190477</v>
      </c>
      <c r="M390" s="16">
        <f t="shared" ca="1" si="31"/>
        <v>236.12169482463966</v>
      </c>
      <c r="N390" s="18">
        <f t="shared" ca="1" si="35"/>
        <v>0</v>
      </c>
    </row>
    <row r="391" spans="10:14" x14ac:dyDescent="0.25">
      <c r="J391" s="16">
        <f t="shared" ca="1" si="32"/>
        <v>3.7795274538954846</v>
      </c>
      <c r="K391" s="16">
        <f t="shared" ca="1" si="33"/>
        <v>22.806912341072955</v>
      </c>
      <c r="L391" s="17">
        <f t="shared" si="34"/>
        <v>0.90476190476190477</v>
      </c>
      <c r="M391" s="16">
        <f t="shared" ca="1" si="31"/>
        <v>77.989889300085068</v>
      </c>
      <c r="N391" s="18">
        <f t="shared" ca="1" si="35"/>
        <v>0</v>
      </c>
    </row>
    <row r="392" spans="10:14" x14ac:dyDescent="0.25">
      <c r="J392" s="16">
        <f t="shared" ca="1" si="32"/>
        <v>9.1095546935715088</v>
      </c>
      <c r="K392" s="16">
        <f t="shared" ca="1" si="33"/>
        <v>29.502720413754876</v>
      </c>
      <c r="L392" s="17">
        <f t="shared" si="34"/>
        <v>0.90476190476190477</v>
      </c>
      <c r="M392" s="16">
        <f t="shared" ca="1" si="31"/>
        <v>243.16077424508217</v>
      </c>
      <c r="N392" s="18">
        <f t="shared" ca="1" si="35"/>
        <v>1</v>
      </c>
    </row>
    <row r="393" spans="10:14" x14ac:dyDescent="0.25">
      <c r="J393" s="16">
        <f t="shared" ca="1" si="32"/>
        <v>4.3033242530523843</v>
      </c>
      <c r="K393" s="16">
        <f t="shared" ca="1" si="33"/>
        <v>28.178573923155415</v>
      </c>
      <c r="L393" s="17">
        <f t="shared" si="34"/>
        <v>0.90476190476190477</v>
      </c>
      <c r="M393" s="16">
        <f t="shared" ca="1" si="31"/>
        <v>109.71282242947329</v>
      </c>
      <c r="N393" s="18">
        <f t="shared" ca="1" si="35"/>
        <v>0</v>
      </c>
    </row>
    <row r="394" spans="10:14" x14ac:dyDescent="0.25">
      <c r="J394" s="16">
        <f t="shared" ca="1" si="32"/>
        <v>10.865494051731261</v>
      </c>
      <c r="K394" s="16">
        <f t="shared" ca="1" si="33"/>
        <v>24.319882080347021</v>
      </c>
      <c r="L394" s="17">
        <f t="shared" si="34"/>
        <v>0.90476190476190477</v>
      </c>
      <c r="M394" s="16">
        <f t="shared" ca="1" si="31"/>
        <v>239.08110226540515</v>
      </c>
      <c r="N394" s="18">
        <f t="shared" ca="1" si="35"/>
        <v>1</v>
      </c>
    </row>
    <row r="395" spans="10:14" x14ac:dyDescent="0.25">
      <c r="J395" s="16">
        <f t="shared" ca="1" si="32"/>
        <v>10.631299576734666</v>
      </c>
      <c r="K395" s="16">
        <f t="shared" ca="1" si="33"/>
        <v>30.833461185703975</v>
      </c>
      <c r="L395" s="17">
        <f t="shared" si="34"/>
        <v>0.90476190476190477</v>
      </c>
      <c r="M395" s="16">
        <f t="shared" ca="1" si="31"/>
        <v>296.58073781923565</v>
      </c>
      <c r="N395" s="18">
        <f t="shared" ca="1" si="35"/>
        <v>1</v>
      </c>
    </row>
    <row r="396" spans="10:14" x14ac:dyDescent="0.25">
      <c r="J396" s="16">
        <f t="shared" ca="1" si="32"/>
        <v>5.2458763028613804</v>
      </c>
      <c r="K396" s="16">
        <f t="shared" ca="1" si="33"/>
        <v>23.483658209072239</v>
      </c>
      <c r="L396" s="17">
        <f t="shared" si="34"/>
        <v>0.90476190476190477</v>
      </c>
      <c r="M396" s="16">
        <f t="shared" ca="1" si="31"/>
        <v>111.45975980789979</v>
      </c>
      <c r="N396" s="18">
        <f t="shared" ca="1" si="35"/>
        <v>0</v>
      </c>
    </row>
    <row r="397" spans="10:14" x14ac:dyDescent="0.25">
      <c r="J397" s="16">
        <f t="shared" ca="1" si="32"/>
        <v>7.6998830210301046</v>
      </c>
      <c r="K397" s="16">
        <f t="shared" ca="1" si="33"/>
        <v>29.759482953703486</v>
      </c>
      <c r="L397" s="17">
        <f t="shared" si="34"/>
        <v>0.90476190476190477</v>
      </c>
      <c r="M397" s="16">
        <f t="shared" ca="1" si="31"/>
        <v>207.32124822320333</v>
      </c>
      <c r="N397" s="18">
        <f t="shared" ca="1" si="35"/>
        <v>0</v>
      </c>
    </row>
    <row r="398" spans="10:14" x14ac:dyDescent="0.25">
      <c r="J398" s="16">
        <f t="shared" ca="1" si="32"/>
        <v>7.2343187812928154</v>
      </c>
      <c r="K398" s="16">
        <f t="shared" ca="1" si="33"/>
        <v>21.637231485618042</v>
      </c>
      <c r="L398" s="17">
        <f t="shared" si="34"/>
        <v>0.90476190476190477</v>
      </c>
      <c r="M398" s="16">
        <f t="shared" ca="1" si="31"/>
        <v>141.62295105334047</v>
      </c>
      <c r="N398" s="18">
        <f t="shared" ca="1" si="35"/>
        <v>0</v>
      </c>
    </row>
    <row r="399" spans="10:14" x14ac:dyDescent="0.25">
      <c r="J399" s="16">
        <f t="shared" ca="1" si="32"/>
        <v>11.492381973695309</v>
      </c>
      <c r="K399" s="16">
        <f t="shared" ca="1" si="33"/>
        <v>20.388566203492264</v>
      </c>
      <c r="L399" s="17">
        <f t="shared" si="34"/>
        <v>0.90476190476190477</v>
      </c>
      <c r="M399" s="16">
        <f t="shared" ca="1" si="31"/>
        <v>211.99764873445952</v>
      </c>
      <c r="N399" s="18">
        <f t="shared" ca="1" si="35"/>
        <v>0</v>
      </c>
    </row>
    <row r="400" spans="10:14" x14ac:dyDescent="0.25">
      <c r="J400" s="16">
        <f t="shared" ca="1" si="32"/>
        <v>6.0203800617743566</v>
      </c>
      <c r="K400" s="16">
        <f t="shared" ca="1" si="33"/>
        <v>27.235901248607011</v>
      </c>
      <c r="L400" s="17">
        <f t="shared" si="34"/>
        <v>0.90476190476190477</v>
      </c>
      <c r="M400" s="16">
        <f t="shared" ca="1" si="31"/>
        <v>148.35424095189572</v>
      </c>
      <c r="N400" s="18">
        <f t="shared" ca="1" si="35"/>
        <v>0</v>
      </c>
    </row>
    <row r="401" spans="10:14" x14ac:dyDescent="0.25">
      <c r="J401" s="16">
        <f t="shared" ca="1" si="32"/>
        <v>6.469597981178314</v>
      </c>
      <c r="K401" s="16">
        <f t="shared" ca="1" si="33"/>
        <v>37.772756279202028</v>
      </c>
      <c r="L401" s="17">
        <f t="shared" si="34"/>
        <v>0.90476190476190477</v>
      </c>
      <c r="M401" s="16">
        <f t="shared" ca="1" si="31"/>
        <v>221.10078131342155</v>
      </c>
      <c r="N401" s="18">
        <f t="shared" ca="1" si="35"/>
        <v>0</v>
      </c>
    </row>
    <row r="402" spans="10:14" x14ac:dyDescent="0.25">
      <c r="J402" s="16">
        <f t="shared" ca="1" si="32"/>
        <v>7.0465256044784885</v>
      </c>
      <c r="K402" s="16">
        <f t="shared" ca="1" si="33"/>
        <v>36.660841536497308</v>
      </c>
      <c r="L402" s="17">
        <f t="shared" si="34"/>
        <v>0.90476190476190477</v>
      </c>
      <c r="M402" s="16">
        <f t="shared" ca="1" si="31"/>
        <v>233.72855299068945</v>
      </c>
      <c r="N402" s="18">
        <f t="shared" ca="1" si="35"/>
        <v>0</v>
      </c>
    </row>
    <row r="403" spans="10:14" x14ac:dyDescent="0.25">
      <c r="J403" s="16">
        <f t="shared" ca="1" si="32"/>
        <v>9.6085033836834928</v>
      </c>
      <c r="K403" s="16">
        <f t="shared" ca="1" si="33"/>
        <v>30.252076148432334</v>
      </c>
      <c r="L403" s="17">
        <f t="shared" si="34"/>
        <v>0.90476190476190477</v>
      </c>
      <c r="M403" s="16">
        <f t="shared" ref="M403:M466" ca="1" si="36">J403*K403*L403</f>
        <v>262.99363546083771</v>
      </c>
      <c r="N403" s="18">
        <f t="shared" ca="1" si="35"/>
        <v>1</v>
      </c>
    </row>
    <row r="404" spans="10:14" x14ac:dyDescent="0.25">
      <c r="J404" s="16">
        <f t="shared" ca="1" si="32"/>
        <v>5.9740099438695813</v>
      </c>
      <c r="K404" s="16">
        <f t="shared" ca="1" si="33"/>
        <v>33.821508899990079</v>
      </c>
      <c r="L404" s="17">
        <f t="shared" si="34"/>
        <v>0.90476190476190477</v>
      </c>
      <c r="M404" s="16">
        <f t="shared" ca="1" si="36"/>
        <v>182.80717043900339</v>
      </c>
      <c r="N404" s="18">
        <f t="shared" ca="1" si="35"/>
        <v>0</v>
      </c>
    </row>
    <row r="405" spans="10:14" x14ac:dyDescent="0.25">
      <c r="J405" s="16">
        <f t="shared" ca="1" si="32"/>
        <v>8.2335319663320323</v>
      </c>
      <c r="K405" s="16">
        <f t="shared" ca="1" si="33"/>
        <v>34.146330147359194</v>
      </c>
      <c r="L405" s="17">
        <f t="shared" si="34"/>
        <v>0.90476190476190477</v>
      </c>
      <c r="M405" s="16">
        <f t="shared" ca="1" si="36"/>
        <v>254.3691959629987</v>
      </c>
      <c r="N405" s="18">
        <f t="shared" ca="1" si="35"/>
        <v>1</v>
      </c>
    </row>
    <row r="406" spans="10:14" x14ac:dyDescent="0.25">
      <c r="J406" s="16">
        <f t="shared" ca="1" si="32"/>
        <v>7.8055989776352011</v>
      </c>
      <c r="K406" s="16">
        <f t="shared" ca="1" si="33"/>
        <v>28.413434573506805</v>
      </c>
      <c r="L406" s="17">
        <f t="shared" si="34"/>
        <v>0.90476190476190477</v>
      </c>
      <c r="M406" s="16">
        <f t="shared" ca="1" si="36"/>
        <v>200.66160196682469</v>
      </c>
      <c r="N406" s="18">
        <f t="shared" ca="1" si="35"/>
        <v>0</v>
      </c>
    </row>
    <row r="407" spans="10:14" x14ac:dyDescent="0.25">
      <c r="J407" s="16">
        <f t="shared" ca="1" si="32"/>
        <v>10.348780224128287</v>
      </c>
      <c r="K407" s="16">
        <f t="shared" ca="1" si="33"/>
        <v>31.588278650805002</v>
      </c>
      <c r="L407" s="17">
        <f t="shared" si="34"/>
        <v>0.90476190476190477</v>
      </c>
      <c r="M407" s="16">
        <f t="shared" ca="1" si="36"/>
        <v>295.76680547135174</v>
      </c>
      <c r="N407" s="18">
        <f t="shared" ca="1" si="35"/>
        <v>1</v>
      </c>
    </row>
    <row r="408" spans="10:14" x14ac:dyDescent="0.25">
      <c r="J408" s="16">
        <f t="shared" ca="1" si="32"/>
        <v>7.2435252763306419</v>
      </c>
      <c r="K408" s="16">
        <f t="shared" ca="1" si="33"/>
        <v>25.01460505215978</v>
      </c>
      <c r="L408" s="17">
        <f t="shared" si="34"/>
        <v>0.90476190476190477</v>
      </c>
      <c r="M408" s="16">
        <f t="shared" ca="1" si="36"/>
        <v>163.93735978486683</v>
      </c>
      <c r="N408" s="18">
        <f t="shared" ca="1" si="35"/>
        <v>0</v>
      </c>
    </row>
    <row r="409" spans="10:14" x14ac:dyDescent="0.25">
      <c r="J409" s="16">
        <f t="shared" ca="1" si="32"/>
        <v>8.79651081227464</v>
      </c>
      <c r="K409" s="16">
        <f t="shared" ca="1" si="33"/>
        <v>45.979237449841598</v>
      </c>
      <c r="L409" s="17">
        <f t="shared" si="34"/>
        <v>0.90476190476190477</v>
      </c>
      <c r="M409" s="16">
        <f t="shared" ca="1" si="36"/>
        <v>365.93715847551516</v>
      </c>
      <c r="N409" s="18">
        <f t="shared" ca="1" si="35"/>
        <v>1</v>
      </c>
    </row>
    <row r="410" spans="10:14" x14ac:dyDescent="0.25">
      <c r="J410" s="16">
        <f t="shared" ca="1" si="32"/>
        <v>3.5242596950174869</v>
      </c>
      <c r="K410" s="16">
        <f t="shared" ca="1" si="33"/>
        <v>35.950320918430648</v>
      </c>
      <c r="L410" s="17">
        <f t="shared" si="34"/>
        <v>0.90476190476190477</v>
      </c>
      <c r="M410" s="16">
        <f t="shared" ca="1" si="36"/>
        <v>114.63176541331497</v>
      </c>
      <c r="N410" s="18">
        <f t="shared" ca="1" si="35"/>
        <v>0</v>
      </c>
    </row>
    <row r="411" spans="10:14" x14ac:dyDescent="0.25">
      <c r="J411" s="16">
        <f t="shared" ca="1" si="32"/>
        <v>11.403714861656621</v>
      </c>
      <c r="K411" s="16">
        <f t="shared" ca="1" si="33"/>
        <v>34.198813179805455</v>
      </c>
      <c r="L411" s="17">
        <f t="shared" si="34"/>
        <v>0.90476190476190477</v>
      </c>
      <c r="M411" s="16">
        <f t="shared" ca="1" si="36"/>
        <v>352.85127467055952</v>
      </c>
      <c r="N411" s="18">
        <f t="shared" ca="1" si="35"/>
        <v>1</v>
      </c>
    </row>
    <row r="412" spans="10:14" x14ac:dyDescent="0.25">
      <c r="J412" s="16">
        <f t="shared" ca="1" si="32"/>
        <v>8.9013655124703739</v>
      </c>
      <c r="K412" s="16">
        <f t="shared" ca="1" si="33"/>
        <v>25.263384780205136</v>
      </c>
      <c r="L412" s="17">
        <f t="shared" si="34"/>
        <v>0.90476190476190477</v>
      </c>
      <c r="M412" s="16">
        <f t="shared" ca="1" si="36"/>
        <v>203.461610390712</v>
      </c>
      <c r="N412" s="18">
        <f t="shared" ca="1" si="35"/>
        <v>0</v>
      </c>
    </row>
    <row r="413" spans="10:14" x14ac:dyDescent="0.25">
      <c r="J413" s="16">
        <f t="shared" ca="1" si="32"/>
        <v>7.9590521251551678</v>
      </c>
      <c r="K413" s="16">
        <f t="shared" ca="1" si="33"/>
        <v>23.56518686562784</v>
      </c>
      <c r="L413" s="17">
        <f t="shared" si="34"/>
        <v>0.90476190476190477</v>
      </c>
      <c r="M413" s="16">
        <f t="shared" ca="1" si="36"/>
        <v>169.69402197373924</v>
      </c>
      <c r="N413" s="18">
        <f t="shared" ca="1" si="35"/>
        <v>0</v>
      </c>
    </row>
    <row r="414" spans="10:14" x14ac:dyDescent="0.25">
      <c r="J414" s="16">
        <f t="shared" ca="1" si="32"/>
        <v>11.670549057169922</v>
      </c>
      <c r="K414" s="16">
        <f t="shared" ca="1" si="33"/>
        <v>28.678120610903932</v>
      </c>
      <c r="L414" s="17">
        <f t="shared" si="34"/>
        <v>0.90476190476190477</v>
      </c>
      <c r="M414" s="16">
        <f t="shared" ca="1" si="36"/>
        <v>302.81423122299111</v>
      </c>
      <c r="N414" s="18">
        <f t="shared" ca="1" si="35"/>
        <v>1</v>
      </c>
    </row>
    <row r="415" spans="10:14" x14ac:dyDescent="0.25">
      <c r="J415" s="16">
        <f t="shared" ca="1" si="32"/>
        <v>5.5715177088518777</v>
      </c>
      <c r="K415" s="16">
        <f t="shared" ca="1" si="33"/>
        <v>32.659083706438963</v>
      </c>
      <c r="L415" s="17">
        <f t="shared" si="34"/>
        <v>0.90476190476190477</v>
      </c>
      <c r="M415" s="16">
        <f t="shared" ca="1" si="36"/>
        <v>164.63107625146236</v>
      </c>
      <c r="N415" s="18">
        <f t="shared" ca="1" si="35"/>
        <v>0</v>
      </c>
    </row>
    <row r="416" spans="10:14" x14ac:dyDescent="0.25">
      <c r="J416" s="16">
        <f t="shared" ca="1" si="32"/>
        <v>9.6924847237415115</v>
      </c>
      <c r="K416" s="16">
        <f t="shared" ca="1" si="33"/>
        <v>30.166366457592048</v>
      </c>
      <c r="L416" s="17">
        <f t="shared" si="34"/>
        <v>0.90476190476190477</v>
      </c>
      <c r="M416" s="16">
        <f t="shared" ca="1" si="36"/>
        <v>264.54066072185645</v>
      </c>
      <c r="N416" s="18">
        <f t="shared" ca="1" si="35"/>
        <v>1</v>
      </c>
    </row>
    <row r="417" spans="10:14" x14ac:dyDescent="0.25">
      <c r="J417" s="16">
        <f t="shared" ca="1" si="32"/>
        <v>14.888233459357233</v>
      </c>
      <c r="K417" s="16">
        <f t="shared" ca="1" si="33"/>
        <v>26.652856731030667</v>
      </c>
      <c r="L417" s="17">
        <f t="shared" si="34"/>
        <v>0.90476190476190477</v>
      </c>
      <c r="M417" s="16">
        <f t="shared" ca="1" si="36"/>
        <v>359.02214828749158</v>
      </c>
      <c r="N417" s="18">
        <f t="shared" ca="1" si="35"/>
        <v>1</v>
      </c>
    </row>
    <row r="418" spans="10:14" x14ac:dyDescent="0.25">
      <c r="J418" s="16">
        <f t="shared" ca="1" si="32"/>
        <v>6.8673491950117551</v>
      </c>
      <c r="K418" s="16">
        <f t="shared" ca="1" si="33"/>
        <v>41.700013475633099</v>
      </c>
      <c r="L418" s="17">
        <f t="shared" si="34"/>
        <v>0.90476190476190477</v>
      </c>
      <c r="M418" s="16">
        <f t="shared" ca="1" si="36"/>
        <v>259.09535835730941</v>
      </c>
      <c r="N418" s="18">
        <f t="shared" ca="1" si="35"/>
        <v>1</v>
      </c>
    </row>
    <row r="419" spans="10:14" x14ac:dyDescent="0.25">
      <c r="J419" s="16">
        <f t="shared" ca="1" si="32"/>
        <v>5.5286951273980272</v>
      </c>
      <c r="K419" s="16">
        <f t="shared" ca="1" si="33"/>
        <v>22.166750172605862</v>
      </c>
      <c r="L419" s="17">
        <f t="shared" si="34"/>
        <v>0.90476190476190477</v>
      </c>
      <c r="M419" s="16">
        <f t="shared" ca="1" si="36"/>
        <v>110.88146998672251</v>
      </c>
      <c r="N419" s="18">
        <f t="shared" ca="1" si="35"/>
        <v>0</v>
      </c>
    </row>
    <row r="420" spans="10:14" x14ac:dyDescent="0.25">
      <c r="J420" s="16">
        <f t="shared" ca="1" si="32"/>
        <v>7.5953962918857529</v>
      </c>
      <c r="K420" s="16">
        <f t="shared" ca="1" si="33"/>
        <v>28.228555675379734</v>
      </c>
      <c r="L420" s="17">
        <f t="shared" si="34"/>
        <v>0.90476190476190477</v>
      </c>
      <c r="M420" s="16">
        <f t="shared" ca="1" si="36"/>
        <v>193.98734642568218</v>
      </c>
      <c r="N420" s="18">
        <f t="shared" ca="1" si="35"/>
        <v>0</v>
      </c>
    </row>
    <row r="421" spans="10:14" x14ac:dyDescent="0.25">
      <c r="J421" s="16">
        <f t="shared" ca="1" si="32"/>
        <v>4.6468465847156235</v>
      </c>
      <c r="K421" s="16">
        <f t="shared" ca="1" si="33"/>
        <v>41.185447446094507</v>
      </c>
      <c r="L421" s="17">
        <f t="shared" si="34"/>
        <v>0.90476190476190477</v>
      </c>
      <c r="M421" s="16">
        <f t="shared" ca="1" si="36"/>
        <v>173.15555525202439</v>
      </c>
      <c r="N421" s="18">
        <f t="shared" ca="1" si="35"/>
        <v>0</v>
      </c>
    </row>
    <row r="422" spans="10:14" x14ac:dyDescent="0.25">
      <c r="J422" s="16">
        <f t="shared" ca="1" si="32"/>
        <v>11.154059312584151</v>
      </c>
      <c r="K422" s="16">
        <f t="shared" ca="1" si="33"/>
        <v>38.543958548191789</v>
      </c>
      <c r="L422" s="17">
        <f t="shared" si="34"/>
        <v>0.90476190476190477</v>
      </c>
      <c r="M422" s="16">
        <f t="shared" ca="1" si="36"/>
        <v>388.97668552276218</v>
      </c>
      <c r="N422" s="18">
        <f t="shared" ca="1" si="35"/>
        <v>1</v>
      </c>
    </row>
    <row r="423" spans="10:14" x14ac:dyDescent="0.25">
      <c r="J423" s="16">
        <f t="shared" ca="1" si="32"/>
        <v>9.5975799758458784</v>
      </c>
      <c r="K423" s="16">
        <f t="shared" ca="1" si="33"/>
        <v>29.283450095702893</v>
      </c>
      <c r="L423" s="17">
        <f t="shared" si="34"/>
        <v>0.90476190476190477</v>
      </c>
      <c r="M423" s="16">
        <f t="shared" ca="1" si="36"/>
        <v>254.28356338008587</v>
      </c>
      <c r="N423" s="18">
        <f t="shared" ca="1" si="35"/>
        <v>1</v>
      </c>
    </row>
    <row r="424" spans="10:14" x14ac:dyDescent="0.25">
      <c r="J424" s="16">
        <f t="shared" ca="1" si="32"/>
        <v>3.1648013968505269</v>
      </c>
      <c r="K424" s="16">
        <f t="shared" ca="1" si="33"/>
        <v>25.858948332826593</v>
      </c>
      <c r="L424" s="17">
        <f t="shared" si="34"/>
        <v>0.90476190476190477</v>
      </c>
      <c r="M424" s="16">
        <f t="shared" ca="1" si="36"/>
        <v>74.044299061499473</v>
      </c>
      <c r="N424" s="18">
        <f t="shared" ca="1" si="35"/>
        <v>0</v>
      </c>
    </row>
    <row r="425" spans="10:14" x14ac:dyDescent="0.25">
      <c r="J425" s="16">
        <f t="shared" ca="1" si="32"/>
        <v>6.1316643335275565</v>
      </c>
      <c r="K425" s="16">
        <f t="shared" ca="1" si="33"/>
        <v>34.255045677110118</v>
      </c>
      <c r="L425" s="17">
        <f t="shared" si="34"/>
        <v>0.90476190476190477</v>
      </c>
      <c r="M425" s="16">
        <f t="shared" ca="1" si="36"/>
        <v>190.03659021962736</v>
      </c>
      <c r="N425" s="18">
        <f t="shared" ca="1" si="35"/>
        <v>0</v>
      </c>
    </row>
    <row r="426" spans="10:14" x14ac:dyDescent="0.25">
      <c r="J426" s="16">
        <f t="shared" ca="1" si="32"/>
        <v>6.6061823060637606</v>
      </c>
      <c r="K426" s="16">
        <f t="shared" ca="1" si="33"/>
        <v>32.952390382837308</v>
      </c>
      <c r="L426" s="17">
        <f t="shared" si="34"/>
        <v>0.90476190476190477</v>
      </c>
      <c r="M426" s="16">
        <f t="shared" ca="1" si="36"/>
        <v>196.95716511916683</v>
      </c>
      <c r="N426" s="18">
        <f t="shared" ca="1" si="35"/>
        <v>0</v>
      </c>
    </row>
    <row r="427" spans="10:14" x14ac:dyDescent="0.25">
      <c r="J427" s="16">
        <f t="shared" ca="1" si="32"/>
        <v>7.9428511007915299</v>
      </c>
      <c r="K427" s="16">
        <f t="shared" ca="1" si="33"/>
        <v>20.398443069577635</v>
      </c>
      <c r="L427" s="17">
        <f t="shared" si="34"/>
        <v>0.90476190476190477</v>
      </c>
      <c r="M427" s="16">
        <f t="shared" ca="1" si="36"/>
        <v>146.59114875252064</v>
      </c>
      <c r="N427" s="18">
        <f t="shared" ca="1" si="35"/>
        <v>0</v>
      </c>
    </row>
    <row r="428" spans="10:14" x14ac:dyDescent="0.25">
      <c r="J428" s="16">
        <f t="shared" ca="1" si="32"/>
        <v>5.9121506367488381</v>
      </c>
      <c r="K428" s="16">
        <f t="shared" ca="1" si="33"/>
        <v>37.473905022325994</v>
      </c>
      <c r="L428" s="17">
        <f t="shared" si="34"/>
        <v>0.90476190476190477</v>
      </c>
      <c r="M428" s="16">
        <f t="shared" ca="1" si="36"/>
        <v>200.451240825952</v>
      </c>
      <c r="N428" s="18">
        <f t="shared" ca="1" si="35"/>
        <v>0</v>
      </c>
    </row>
    <row r="429" spans="10:14" x14ac:dyDescent="0.25">
      <c r="J429" s="16">
        <f t="shared" ca="1" si="32"/>
        <v>7.6360293904662102</v>
      </c>
      <c r="K429" s="16">
        <f t="shared" ca="1" si="33"/>
        <v>28.524970082629714</v>
      </c>
      <c r="L429" s="17">
        <f t="shared" si="34"/>
        <v>0.90476190476190477</v>
      </c>
      <c r="M429" s="16">
        <f t="shared" ca="1" si="36"/>
        <v>197.07298515949844</v>
      </c>
      <c r="N429" s="18">
        <f t="shared" ca="1" si="35"/>
        <v>0</v>
      </c>
    </row>
    <row r="430" spans="10:14" x14ac:dyDescent="0.25">
      <c r="J430" s="16">
        <f t="shared" ca="1" si="32"/>
        <v>5.7350185527049176</v>
      </c>
      <c r="K430" s="16">
        <f t="shared" ca="1" si="33"/>
        <v>38.522458578547415</v>
      </c>
      <c r="L430" s="17">
        <f t="shared" si="34"/>
        <v>0.90476190476190477</v>
      </c>
      <c r="M430" s="16">
        <f t="shared" ca="1" si="36"/>
        <v>199.88634658246411</v>
      </c>
      <c r="N430" s="18">
        <f t="shared" ca="1" si="35"/>
        <v>0</v>
      </c>
    </row>
    <row r="431" spans="10:14" x14ac:dyDescent="0.25">
      <c r="J431" s="16">
        <f t="shared" ca="1" si="32"/>
        <v>9.2312881880966771</v>
      </c>
      <c r="K431" s="16">
        <f t="shared" ca="1" si="33"/>
        <v>41.133183293064789</v>
      </c>
      <c r="L431" s="17">
        <f t="shared" si="34"/>
        <v>0.90476190476190477</v>
      </c>
      <c r="M431" s="16">
        <f t="shared" ca="1" si="36"/>
        <v>343.54919582712409</v>
      </c>
      <c r="N431" s="18">
        <f t="shared" ca="1" si="35"/>
        <v>1</v>
      </c>
    </row>
    <row r="432" spans="10:14" x14ac:dyDescent="0.25">
      <c r="J432" s="16">
        <f t="shared" ca="1" si="32"/>
        <v>8.9247184406182107</v>
      </c>
      <c r="K432" s="16">
        <f t="shared" ca="1" si="33"/>
        <v>42.281158682703172</v>
      </c>
      <c r="L432" s="17">
        <f t="shared" si="34"/>
        <v>0.90476190476190477</v>
      </c>
      <c r="M432" s="16">
        <f t="shared" ca="1" si="36"/>
        <v>341.4095854827757</v>
      </c>
      <c r="N432" s="18">
        <f t="shared" ca="1" si="35"/>
        <v>1</v>
      </c>
    </row>
    <row r="433" spans="10:14" x14ac:dyDescent="0.25">
      <c r="J433" s="16">
        <f t="shared" ca="1" si="32"/>
        <v>9.2773367274277927</v>
      </c>
      <c r="K433" s="16">
        <f t="shared" ca="1" si="33"/>
        <v>22.007947738525797</v>
      </c>
      <c r="L433" s="17">
        <f t="shared" si="34"/>
        <v>0.90476190476190477</v>
      </c>
      <c r="M433" s="16">
        <f t="shared" ca="1" si="36"/>
        <v>184.72989024518091</v>
      </c>
      <c r="N433" s="18">
        <f t="shared" ca="1" si="35"/>
        <v>0</v>
      </c>
    </row>
    <row r="434" spans="10:14" x14ac:dyDescent="0.25">
      <c r="J434" s="16">
        <f t="shared" ca="1" si="32"/>
        <v>8.0516906335012237</v>
      </c>
      <c r="K434" s="16">
        <f t="shared" ca="1" si="33"/>
        <v>39.744441768648805</v>
      </c>
      <c r="L434" s="17">
        <f t="shared" si="34"/>
        <v>0.90476190476190477</v>
      </c>
      <c r="M434" s="16">
        <f t="shared" ca="1" si="36"/>
        <v>289.53281147261544</v>
      </c>
      <c r="N434" s="18">
        <f t="shared" ca="1" si="35"/>
        <v>1</v>
      </c>
    </row>
    <row r="435" spans="10:14" x14ac:dyDescent="0.25">
      <c r="J435" s="16">
        <f t="shared" ca="1" si="32"/>
        <v>11.425740005519856</v>
      </c>
      <c r="K435" s="16">
        <f t="shared" ca="1" si="33"/>
        <v>32.187383086169326</v>
      </c>
      <c r="L435" s="17">
        <f t="shared" si="34"/>
        <v>0.90476190476190477</v>
      </c>
      <c r="M435" s="16">
        <f t="shared" ca="1" si="36"/>
        <v>332.73946387676779</v>
      </c>
      <c r="N435" s="18">
        <f t="shared" ca="1" si="35"/>
        <v>1</v>
      </c>
    </row>
    <row r="436" spans="10:14" x14ac:dyDescent="0.25">
      <c r="J436" s="16">
        <f t="shared" ca="1" si="32"/>
        <v>3.6563125867944826</v>
      </c>
      <c r="K436" s="16">
        <f t="shared" ca="1" si="33"/>
        <v>26.86605434747846</v>
      </c>
      <c r="L436" s="17">
        <f t="shared" si="34"/>
        <v>0.90476190476190477</v>
      </c>
      <c r="M436" s="16">
        <f t="shared" ca="1" si="36"/>
        <v>88.875388604552981</v>
      </c>
      <c r="N436" s="18">
        <f t="shared" ca="1" si="35"/>
        <v>0</v>
      </c>
    </row>
    <row r="437" spans="10:14" x14ac:dyDescent="0.25">
      <c r="J437" s="16">
        <f t="shared" ca="1" si="32"/>
        <v>7.8869479150817696</v>
      </c>
      <c r="K437" s="16">
        <f t="shared" ca="1" si="33"/>
        <v>36.931157359028681</v>
      </c>
      <c r="L437" s="17">
        <f t="shared" si="34"/>
        <v>0.90476190476190477</v>
      </c>
      <c r="M437" s="16">
        <f t="shared" ca="1" si="36"/>
        <v>263.53372267393394</v>
      </c>
      <c r="N437" s="18">
        <f t="shared" ca="1" si="35"/>
        <v>1</v>
      </c>
    </row>
    <row r="438" spans="10:14" x14ac:dyDescent="0.25">
      <c r="J438" s="16">
        <f t="shared" ca="1" si="32"/>
        <v>10.121524006153098</v>
      </c>
      <c r="K438" s="16">
        <f t="shared" ca="1" si="33"/>
        <v>45.061261719686556</v>
      </c>
      <c r="L438" s="17">
        <f t="shared" si="34"/>
        <v>0.90476190476190477</v>
      </c>
      <c r="M438" s="16">
        <f t="shared" ca="1" si="36"/>
        <v>412.65162869636896</v>
      </c>
      <c r="N438" s="18">
        <f t="shared" ca="1" si="35"/>
        <v>1</v>
      </c>
    </row>
    <row r="439" spans="10:14" x14ac:dyDescent="0.25">
      <c r="J439" s="16">
        <f t="shared" ca="1" si="32"/>
        <v>9.7459559939279821</v>
      </c>
      <c r="K439" s="16">
        <f t="shared" ca="1" si="33"/>
        <v>33.396039503482406</v>
      </c>
      <c r="L439" s="17">
        <f t="shared" si="34"/>
        <v>0.90476190476190477</v>
      </c>
      <c r="M439" s="16">
        <f t="shared" ca="1" si="36"/>
        <v>294.47858552742764</v>
      </c>
      <c r="N439" s="18">
        <f t="shared" ca="1" si="35"/>
        <v>1</v>
      </c>
    </row>
    <row r="440" spans="10:14" x14ac:dyDescent="0.25">
      <c r="J440" s="16">
        <f t="shared" ca="1" si="32"/>
        <v>4.3987109224501726</v>
      </c>
      <c r="K440" s="16">
        <f t="shared" ca="1" si="33"/>
        <v>35.267219631994337</v>
      </c>
      <c r="L440" s="17">
        <f t="shared" si="34"/>
        <v>0.90476190476190477</v>
      </c>
      <c r="M440" s="16">
        <f t="shared" ca="1" si="36"/>
        <v>140.35598951401667</v>
      </c>
      <c r="N440" s="18">
        <f t="shared" ca="1" si="35"/>
        <v>0</v>
      </c>
    </row>
    <row r="441" spans="10:14" x14ac:dyDescent="0.25">
      <c r="J441" s="16">
        <f t="shared" ca="1" si="32"/>
        <v>11.977933492396147</v>
      </c>
      <c r="K441" s="16">
        <f t="shared" ca="1" si="33"/>
        <v>20.13652766268131</v>
      </c>
      <c r="L441" s="17">
        <f t="shared" si="34"/>
        <v>0.90476190476190477</v>
      </c>
      <c r="M441" s="16">
        <f t="shared" ca="1" si="36"/>
        <v>218.22313300554512</v>
      </c>
      <c r="N441" s="18">
        <f t="shared" ca="1" si="35"/>
        <v>0</v>
      </c>
    </row>
    <row r="442" spans="10:14" x14ac:dyDescent="0.25">
      <c r="J442" s="16">
        <f t="shared" ca="1" si="32"/>
        <v>8.4703773467396317</v>
      </c>
      <c r="K442" s="16">
        <f t="shared" ca="1" si="33"/>
        <v>33.769275041972186</v>
      </c>
      <c r="L442" s="17">
        <f t="shared" si="34"/>
        <v>0.90476190476190477</v>
      </c>
      <c r="M442" s="16">
        <f t="shared" ca="1" si="36"/>
        <v>258.79674020454684</v>
      </c>
      <c r="N442" s="18">
        <f t="shared" ca="1" si="35"/>
        <v>1</v>
      </c>
    </row>
    <row r="443" spans="10:14" x14ac:dyDescent="0.25">
      <c r="J443" s="16">
        <f t="shared" ca="1" si="32"/>
        <v>7.143542038444199</v>
      </c>
      <c r="K443" s="16">
        <f t="shared" ca="1" si="33"/>
        <v>36.734140500864413</v>
      </c>
      <c r="L443" s="17">
        <f t="shared" si="34"/>
        <v>0.90476190476190477</v>
      </c>
      <c r="M443" s="16">
        <f t="shared" ca="1" si="36"/>
        <v>237.42026958889386</v>
      </c>
      <c r="N443" s="18">
        <f t="shared" ca="1" si="35"/>
        <v>0</v>
      </c>
    </row>
    <row r="444" spans="10:14" x14ac:dyDescent="0.25">
      <c r="J444" s="16">
        <f t="shared" ca="1" si="32"/>
        <v>5.1861995747750358</v>
      </c>
      <c r="K444" s="16">
        <f t="shared" ca="1" si="33"/>
        <v>38.200843501768716</v>
      </c>
      <c r="L444" s="17">
        <f t="shared" si="34"/>
        <v>0.90476190476190477</v>
      </c>
      <c r="M444" s="16">
        <f t="shared" ca="1" si="36"/>
        <v>179.24889372254719</v>
      </c>
      <c r="N444" s="18">
        <f t="shared" ca="1" si="35"/>
        <v>0</v>
      </c>
    </row>
    <row r="445" spans="10:14" x14ac:dyDescent="0.25">
      <c r="J445" s="16">
        <f t="shared" ca="1" si="32"/>
        <v>10.628391878384297</v>
      </c>
      <c r="K445" s="16">
        <f t="shared" ca="1" si="33"/>
        <v>25.921452936074687</v>
      </c>
      <c r="L445" s="17">
        <f t="shared" si="34"/>
        <v>0.90476190476190477</v>
      </c>
      <c r="M445" s="16">
        <f t="shared" ca="1" si="36"/>
        <v>249.26494463677346</v>
      </c>
      <c r="N445" s="18">
        <f t="shared" ca="1" si="35"/>
        <v>1</v>
      </c>
    </row>
    <row r="446" spans="10:14" x14ac:dyDescent="0.25">
      <c r="J446" s="16">
        <f t="shared" ca="1" si="32"/>
        <v>6.5626746872302686</v>
      </c>
      <c r="K446" s="16">
        <f t="shared" ca="1" si="33"/>
        <v>24.171923615376812</v>
      </c>
      <c r="L446" s="17">
        <f t="shared" si="34"/>
        <v>0.90476190476190477</v>
      </c>
      <c r="M446" s="16">
        <f t="shared" ca="1" si="36"/>
        <v>143.52461684731631</v>
      </c>
      <c r="N446" s="18">
        <f t="shared" ca="1" si="35"/>
        <v>0</v>
      </c>
    </row>
    <row r="447" spans="10:14" x14ac:dyDescent="0.25">
      <c r="J447" s="16">
        <f t="shared" ca="1" si="32"/>
        <v>6.2036494628280998</v>
      </c>
      <c r="K447" s="16">
        <f t="shared" ca="1" si="33"/>
        <v>33.458297576138861</v>
      </c>
      <c r="L447" s="17">
        <f t="shared" si="34"/>
        <v>0.90476190476190477</v>
      </c>
      <c r="M447" s="16">
        <f t="shared" ca="1" si="36"/>
        <v>187.79559266294166</v>
      </c>
      <c r="N447" s="18">
        <f t="shared" ca="1" si="35"/>
        <v>0</v>
      </c>
    </row>
    <row r="448" spans="10:14" x14ac:dyDescent="0.25">
      <c r="J448" s="16">
        <f t="shared" ca="1" si="32"/>
        <v>11.7092188782202</v>
      </c>
      <c r="K448" s="16">
        <f t="shared" ca="1" si="33"/>
        <v>32.787269817431678</v>
      </c>
      <c r="L448" s="17">
        <f t="shared" si="34"/>
        <v>0.90476190476190477</v>
      </c>
      <c r="M448" s="16">
        <f t="shared" ca="1" si="36"/>
        <v>347.35014550094468</v>
      </c>
      <c r="N448" s="18">
        <f t="shared" ca="1" si="35"/>
        <v>1</v>
      </c>
    </row>
    <row r="449" spans="10:14" x14ac:dyDescent="0.25">
      <c r="J449" s="16">
        <f t="shared" ca="1" si="32"/>
        <v>8.1910935530494662</v>
      </c>
      <c r="K449" s="16">
        <f t="shared" ca="1" si="33"/>
        <v>41.585320589312587</v>
      </c>
      <c r="L449" s="17">
        <f t="shared" si="34"/>
        <v>0.90476190476190477</v>
      </c>
      <c r="M449" s="16">
        <f t="shared" ca="1" si="36"/>
        <v>308.18837029674557</v>
      </c>
      <c r="N449" s="18">
        <f t="shared" ca="1" si="35"/>
        <v>1</v>
      </c>
    </row>
    <row r="450" spans="10:14" x14ac:dyDescent="0.25">
      <c r="J450" s="16">
        <f t="shared" ca="1" si="32"/>
        <v>8.5105157888680107</v>
      </c>
      <c r="K450" s="16">
        <f t="shared" ca="1" si="33"/>
        <v>40.160442082336829</v>
      </c>
      <c r="L450" s="17">
        <f t="shared" si="34"/>
        <v>0.90476190476190477</v>
      </c>
      <c r="M450" s="16">
        <f t="shared" ca="1" si="36"/>
        <v>309.23502153158529</v>
      </c>
      <c r="N450" s="18">
        <f t="shared" ca="1" si="35"/>
        <v>1</v>
      </c>
    </row>
    <row r="451" spans="10:14" x14ac:dyDescent="0.25">
      <c r="J451" s="16">
        <f t="shared" ca="1" si="32"/>
        <v>13.68773661252218</v>
      </c>
      <c r="K451" s="16">
        <f t="shared" ca="1" si="33"/>
        <v>26.376369811317659</v>
      </c>
      <c r="L451" s="17">
        <f t="shared" si="34"/>
        <v>0.90476190476190477</v>
      </c>
      <c r="M451" s="16">
        <f t="shared" ca="1" si="36"/>
        <v>326.64872631734056</v>
      </c>
      <c r="N451" s="18">
        <f t="shared" ca="1" si="35"/>
        <v>1</v>
      </c>
    </row>
    <row r="452" spans="10:14" x14ac:dyDescent="0.25">
      <c r="J452" s="16">
        <f t="shared" ref="J452:J515" ca="1" si="37">$D$2*(-LN(1-RAND()))^(1/$D$3)</f>
        <v>7.4112910042410123</v>
      </c>
      <c r="K452" s="16">
        <f t="shared" ref="K452:K515" ca="1" si="38">RAND()*($H$3-$H$2)+$H$2</f>
        <v>40.557577377593304</v>
      </c>
      <c r="L452" s="17">
        <f t="shared" ref="L452:L515" si="39">$D$22</f>
        <v>0.90476190476190477</v>
      </c>
      <c r="M452" s="16">
        <f t="shared" ca="1" si="36"/>
        <v>271.95695995595025</v>
      </c>
      <c r="N452" s="18">
        <f t="shared" ref="N452:N515" ca="1" si="40">IF(M452&gt;$R$2,1,0)</f>
        <v>1</v>
      </c>
    </row>
    <row r="453" spans="10:14" x14ac:dyDescent="0.25">
      <c r="J453" s="16">
        <f t="shared" ca="1" si="37"/>
        <v>6.2444424024979721</v>
      </c>
      <c r="K453" s="16">
        <f t="shared" ca="1" si="38"/>
        <v>26.257829478375463</v>
      </c>
      <c r="L453" s="17">
        <f t="shared" si="39"/>
        <v>0.90476190476190477</v>
      </c>
      <c r="M453" s="16">
        <f t="shared" ca="1" si="36"/>
        <v>148.34974152639285</v>
      </c>
      <c r="N453" s="18">
        <f t="shared" ca="1" si="40"/>
        <v>0</v>
      </c>
    </row>
    <row r="454" spans="10:14" x14ac:dyDescent="0.25">
      <c r="J454" s="16">
        <f t="shared" ca="1" si="37"/>
        <v>6.3167979998441766</v>
      </c>
      <c r="K454" s="16">
        <f t="shared" ca="1" si="38"/>
        <v>33.885527865391857</v>
      </c>
      <c r="L454" s="17">
        <f t="shared" si="39"/>
        <v>0.90476190476190477</v>
      </c>
      <c r="M454" s="16">
        <f t="shared" ca="1" si="36"/>
        <v>193.66250753484078</v>
      </c>
      <c r="N454" s="18">
        <f t="shared" ca="1" si="40"/>
        <v>0</v>
      </c>
    </row>
    <row r="455" spans="10:14" x14ac:dyDescent="0.25">
      <c r="J455" s="16">
        <f t="shared" ca="1" si="37"/>
        <v>14.505889557747954</v>
      </c>
      <c r="K455" s="16">
        <f t="shared" ca="1" si="38"/>
        <v>41.40859760190677</v>
      </c>
      <c r="L455" s="17">
        <f t="shared" si="39"/>
        <v>0.90476190476190477</v>
      </c>
      <c r="M455" s="16">
        <f t="shared" ca="1" si="36"/>
        <v>543.46201559691633</v>
      </c>
      <c r="N455" s="18">
        <f t="shared" ca="1" si="40"/>
        <v>1</v>
      </c>
    </row>
    <row r="456" spans="10:14" x14ac:dyDescent="0.25">
      <c r="J456" s="16">
        <f t="shared" ca="1" si="37"/>
        <v>8.8922620339070608</v>
      </c>
      <c r="K456" s="16">
        <f t="shared" ca="1" si="38"/>
        <v>35.984671220652046</v>
      </c>
      <c r="L456" s="17">
        <f t="shared" si="39"/>
        <v>0.90476190476190477</v>
      </c>
      <c r="M456" s="16">
        <f t="shared" ca="1" si="36"/>
        <v>289.51035182202918</v>
      </c>
      <c r="N456" s="18">
        <f t="shared" ca="1" si="40"/>
        <v>1</v>
      </c>
    </row>
    <row r="457" spans="10:14" x14ac:dyDescent="0.25">
      <c r="J457" s="16">
        <f t="shared" ca="1" si="37"/>
        <v>9.9741835110013888</v>
      </c>
      <c r="K457" s="16">
        <f t="shared" ca="1" si="38"/>
        <v>37.786148723537238</v>
      </c>
      <c r="L457" s="17">
        <f t="shared" si="39"/>
        <v>0.90476190476190477</v>
      </c>
      <c r="M457" s="16">
        <f t="shared" ca="1" si="36"/>
        <v>340.99207853849879</v>
      </c>
      <c r="N457" s="18">
        <f t="shared" ca="1" si="40"/>
        <v>1</v>
      </c>
    </row>
    <row r="458" spans="10:14" x14ac:dyDescent="0.25">
      <c r="J458" s="16">
        <f t="shared" ca="1" si="37"/>
        <v>6.8208640306761064</v>
      </c>
      <c r="K458" s="16">
        <f t="shared" ca="1" si="38"/>
        <v>26.057060123266496</v>
      </c>
      <c r="L458" s="17">
        <f t="shared" si="39"/>
        <v>0.90476190476190477</v>
      </c>
      <c r="M458" s="16">
        <f t="shared" ca="1" si="36"/>
        <v>160.80483898376713</v>
      </c>
      <c r="N458" s="18">
        <f t="shared" ca="1" si="40"/>
        <v>0</v>
      </c>
    </row>
    <row r="459" spans="10:14" x14ac:dyDescent="0.25">
      <c r="J459" s="16">
        <f t="shared" ca="1" si="37"/>
        <v>4.384539944203194</v>
      </c>
      <c r="K459" s="16">
        <f t="shared" ca="1" si="38"/>
        <v>34.896424396921248</v>
      </c>
      <c r="L459" s="17">
        <f t="shared" si="39"/>
        <v>0.90476190476190477</v>
      </c>
      <c r="M459" s="16">
        <f t="shared" ca="1" si="36"/>
        <v>138.43288413739015</v>
      </c>
      <c r="N459" s="18">
        <f t="shared" ca="1" si="40"/>
        <v>0</v>
      </c>
    </row>
    <row r="460" spans="10:14" x14ac:dyDescent="0.25">
      <c r="J460" s="16">
        <f t="shared" ca="1" si="37"/>
        <v>6.7646536372893564</v>
      </c>
      <c r="K460" s="16">
        <f t="shared" ca="1" si="38"/>
        <v>29.276702745822973</v>
      </c>
      <c r="L460" s="17">
        <f t="shared" si="39"/>
        <v>0.90476190476190477</v>
      </c>
      <c r="M460" s="16">
        <f t="shared" ca="1" si="36"/>
        <v>179.18515812524015</v>
      </c>
      <c r="N460" s="18">
        <f t="shared" ca="1" si="40"/>
        <v>0</v>
      </c>
    </row>
    <row r="461" spans="10:14" x14ac:dyDescent="0.25">
      <c r="J461" s="16">
        <f t="shared" ca="1" si="37"/>
        <v>7.6845205198930078</v>
      </c>
      <c r="K461" s="16">
        <f t="shared" ca="1" si="38"/>
        <v>20.267384521218233</v>
      </c>
      <c r="L461" s="17">
        <f t="shared" si="39"/>
        <v>0.90476190476190477</v>
      </c>
      <c r="M461" s="16">
        <f t="shared" ca="1" si="36"/>
        <v>140.91226250092404</v>
      </c>
      <c r="N461" s="18">
        <f t="shared" ca="1" si="40"/>
        <v>0</v>
      </c>
    </row>
    <row r="462" spans="10:14" x14ac:dyDescent="0.25">
      <c r="J462" s="16">
        <f t="shared" ca="1" si="37"/>
        <v>6.1507182890559537</v>
      </c>
      <c r="K462" s="16">
        <f t="shared" ca="1" si="38"/>
        <v>31.67273603326916</v>
      </c>
      <c r="L462" s="17">
        <f t="shared" si="39"/>
        <v>0.90476190476190477</v>
      </c>
      <c r="M462" s="16">
        <f t="shared" ca="1" si="36"/>
        <v>176.25673613814917</v>
      </c>
      <c r="N462" s="18">
        <f t="shared" ca="1" si="40"/>
        <v>0</v>
      </c>
    </row>
    <row r="463" spans="10:14" x14ac:dyDescent="0.25">
      <c r="J463" s="16">
        <f t="shared" ca="1" si="37"/>
        <v>5.1100248771907006</v>
      </c>
      <c r="K463" s="16">
        <f t="shared" ca="1" si="38"/>
        <v>23.169665774616391</v>
      </c>
      <c r="L463" s="17">
        <f t="shared" si="39"/>
        <v>0.90476190476190477</v>
      </c>
      <c r="M463" s="16">
        <f t="shared" ca="1" si="36"/>
        <v>107.12160959929477</v>
      </c>
      <c r="N463" s="18">
        <f t="shared" ca="1" si="40"/>
        <v>0</v>
      </c>
    </row>
    <row r="464" spans="10:14" x14ac:dyDescent="0.25">
      <c r="J464" s="16">
        <f t="shared" ca="1" si="37"/>
        <v>8.0548591528099767</v>
      </c>
      <c r="K464" s="16">
        <f t="shared" ca="1" si="38"/>
        <v>41.364676452314896</v>
      </c>
      <c r="L464" s="17">
        <f t="shared" si="39"/>
        <v>0.90476190476190477</v>
      </c>
      <c r="M464" s="16">
        <f t="shared" ca="1" si="36"/>
        <v>301.45458151305178</v>
      </c>
      <c r="N464" s="18">
        <f t="shared" ca="1" si="40"/>
        <v>1</v>
      </c>
    </row>
    <row r="465" spans="10:14" x14ac:dyDescent="0.25">
      <c r="J465" s="16">
        <f t="shared" ca="1" si="37"/>
        <v>9.0065630380268047</v>
      </c>
      <c r="K465" s="16">
        <f t="shared" ca="1" si="38"/>
        <v>35.595784311052199</v>
      </c>
      <c r="L465" s="17">
        <f t="shared" si="39"/>
        <v>0.90476190476190477</v>
      </c>
      <c r="M465" s="16">
        <f t="shared" ca="1" si="36"/>
        <v>290.06275382973553</v>
      </c>
      <c r="N465" s="18">
        <f t="shared" ca="1" si="40"/>
        <v>1</v>
      </c>
    </row>
    <row r="466" spans="10:14" x14ac:dyDescent="0.25">
      <c r="J466" s="16">
        <f t="shared" ca="1" si="37"/>
        <v>10.741395889380533</v>
      </c>
      <c r="K466" s="16">
        <f t="shared" ca="1" si="38"/>
        <v>30.041446470496805</v>
      </c>
      <c r="L466" s="17">
        <f t="shared" si="39"/>
        <v>0.90476190476190477</v>
      </c>
      <c r="M466" s="16">
        <f t="shared" ca="1" si="36"/>
        <v>291.95496775978825</v>
      </c>
      <c r="N466" s="18">
        <f t="shared" ca="1" si="40"/>
        <v>1</v>
      </c>
    </row>
    <row r="467" spans="10:14" x14ac:dyDescent="0.25">
      <c r="J467" s="16">
        <f t="shared" ca="1" si="37"/>
        <v>10.614593761649799</v>
      </c>
      <c r="K467" s="16">
        <f t="shared" ca="1" si="38"/>
        <v>45.436551040230128</v>
      </c>
      <c r="L467" s="17">
        <f t="shared" si="39"/>
        <v>0.90476190476190477</v>
      </c>
      <c r="M467" s="16">
        <f t="shared" ref="M467:M530" ca="1" si="41">J467*K467*L467</f>
        <v>436.35809967750851</v>
      </c>
      <c r="N467" s="18">
        <f t="shared" ca="1" si="40"/>
        <v>1</v>
      </c>
    </row>
    <row r="468" spans="10:14" x14ac:dyDescent="0.25">
      <c r="J468" s="16">
        <f t="shared" ca="1" si="37"/>
        <v>9.9731532664101366</v>
      </c>
      <c r="K468" s="16">
        <f t="shared" ca="1" si="38"/>
        <v>22.38247325052162</v>
      </c>
      <c r="L468" s="17">
        <f t="shared" si="39"/>
        <v>0.90476190476190477</v>
      </c>
      <c r="M468" s="16">
        <f t="shared" ca="1" si="41"/>
        <v>201.96442323651272</v>
      </c>
      <c r="N468" s="18">
        <f t="shared" ca="1" si="40"/>
        <v>0</v>
      </c>
    </row>
    <row r="469" spans="10:14" x14ac:dyDescent="0.25">
      <c r="J469" s="16">
        <f t="shared" ca="1" si="37"/>
        <v>5.6085657367447679</v>
      </c>
      <c r="K469" s="16">
        <f t="shared" ca="1" si="38"/>
        <v>35.854919119906867</v>
      </c>
      <c r="L469" s="17">
        <f t="shared" si="39"/>
        <v>0.90476190476190477</v>
      </c>
      <c r="M469" s="16">
        <f t="shared" ca="1" si="41"/>
        <v>181.94279745350599</v>
      </c>
      <c r="N469" s="18">
        <f t="shared" ca="1" si="40"/>
        <v>0</v>
      </c>
    </row>
    <row r="470" spans="10:14" x14ac:dyDescent="0.25">
      <c r="J470" s="16">
        <f t="shared" ca="1" si="37"/>
        <v>13.833816270064018</v>
      </c>
      <c r="K470" s="16">
        <f t="shared" ca="1" si="38"/>
        <v>38.145045165118731</v>
      </c>
      <c r="L470" s="17">
        <f t="shared" si="39"/>
        <v>0.90476190476190477</v>
      </c>
      <c r="M470" s="16">
        <f t="shared" ca="1" si="41"/>
        <v>477.43520867254193</v>
      </c>
      <c r="N470" s="18">
        <f t="shared" ca="1" si="40"/>
        <v>1</v>
      </c>
    </row>
    <row r="471" spans="10:14" x14ac:dyDescent="0.25">
      <c r="J471" s="16">
        <f t="shared" ca="1" si="37"/>
        <v>9.7524903981999334</v>
      </c>
      <c r="K471" s="16">
        <f t="shared" ca="1" si="38"/>
        <v>42.797886343994307</v>
      </c>
      <c r="L471" s="17">
        <f t="shared" si="39"/>
        <v>0.90476190476190477</v>
      </c>
      <c r="M471" s="16">
        <f t="shared" ca="1" si="41"/>
        <v>377.63493033467023</v>
      </c>
      <c r="N471" s="18">
        <f t="shared" ca="1" si="40"/>
        <v>1</v>
      </c>
    </row>
    <row r="472" spans="10:14" x14ac:dyDescent="0.25">
      <c r="J472" s="16">
        <f t="shared" ca="1" si="37"/>
        <v>10.180036907291173</v>
      </c>
      <c r="K472" s="16">
        <f t="shared" ca="1" si="38"/>
        <v>22.238603325561733</v>
      </c>
      <c r="L472" s="17">
        <f t="shared" si="39"/>
        <v>0.90476190476190477</v>
      </c>
      <c r="M472" s="16">
        <f t="shared" ca="1" si="41"/>
        <v>204.8288690378908</v>
      </c>
      <c r="N472" s="18">
        <f t="shared" ca="1" si="40"/>
        <v>0</v>
      </c>
    </row>
    <row r="473" spans="10:14" x14ac:dyDescent="0.25">
      <c r="J473" s="16">
        <f t="shared" ca="1" si="37"/>
        <v>10.104763805264778</v>
      </c>
      <c r="K473" s="16">
        <f t="shared" ca="1" si="38"/>
        <v>40.966959938049641</v>
      </c>
      <c r="L473" s="17">
        <f t="shared" si="39"/>
        <v>0.90476190476190477</v>
      </c>
      <c r="M473" s="16">
        <f t="shared" ca="1" si="41"/>
        <v>374.53655361338036</v>
      </c>
      <c r="N473" s="18">
        <f t="shared" ca="1" si="40"/>
        <v>1</v>
      </c>
    </row>
    <row r="474" spans="10:14" x14ac:dyDescent="0.25">
      <c r="J474" s="16">
        <f t="shared" ca="1" si="37"/>
        <v>12.365793416986591</v>
      </c>
      <c r="K474" s="16">
        <f t="shared" ca="1" si="38"/>
        <v>39.1810969084083</v>
      </c>
      <c r="L474" s="17">
        <f t="shared" si="39"/>
        <v>0.90476190476190477</v>
      </c>
      <c r="M474" s="16">
        <f t="shared" ca="1" si="41"/>
        <v>438.36198353266053</v>
      </c>
      <c r="N474" s="18">
        <f t="shared" ca="1" si="40"/>
        <v>1</v>
      </c>
    </row>
    <row r="475" spans="10:14" x14ac:dyDescent="0.25">
      <c r="J475" s="16">
        <f t="shared" ca="1" si="37"/>
        <v>9.8500434518852131</v>
      </c>
      <c r="K475" s="16">
        <f t="shared" ca="1" si="38"/>
        <v>27.657167909610592</v>
      </c>
      <c r="L475" s="17">
        <f t="shared" si="39"/>
        <v>0.90476190476190477</v>
      </c>
      <c r="M475" s="16">
        <f t="shared" ca="1" si="41"/>
        <v>246.47913369758302</v>
      </c>
      <c r="N475" s="18">
        <f t="shared" ca="1" si="40"/>
        <v>1</v>
      </c>
    </row>
    <row r="476" spans="10:14" x14ac:dyDescent="0.25">
      <c r="J476" s="16">
        <f t="shared" ca="1" si="37"/>
        <v>7.2562418975413605</v>
      </c>
      <c r="K476" s="16">
        <f t="shared" ca="1" si="38"/>
        <v>42.258629778900392</v>
      </c>
      <c r="L476" s="17">
        <f t="shared" si="39"/>
        <v>0.90476190476190477</v>
      </c>
      <c r="M476" s="16">
        <f t="shared" ca="1" si="41"/>
        <v>277.43514089297975</v>
      </c>
      <c r="N476" s="18">
        <f t="shared" ca="1" si="40"/>
        <v>1</v>
      </c>
    </row>
    <row r="477" spans="10:14" x14ac:dyDescent="0.25">
      <c r="J477" s="16">
        <f t="shared" ca="1" si="37"/>
        <v>11.614113665831455</v>
      </c>
      <c r="K477" s="16">
        <f t="shared" ca="1" si="38"/>
        <v>32.727637809440495</v>
      </c>
      <c r="L477" s="17">
        <f t="shared" si="39"/>
        <v>0.90476190476190477</v>
      </c>
      <c r="M477" s="16">
        <f t="shared" ca="1" si="41"/>
        <v>343.90226691081415</v>
      </c>
      <c r="N477" s="18">
        <f t="shared" ca="1" si="40"/>
        <v>1</v>
      </c>
    </row>
    <row r="478" spans="10:14" x14ac:dyDescent="0.25">
      <c r="J478" s="16">
        <f t="shared" ca="1" si="37"/>
        <v>4.4648484162472037</v>
      </c>
      <c r="K478" s="16">
        <f t="shared" ca="1" si="38"/>
        <v>32.836153721326191</v>
      </c>
      <c r="L478" s="17">
        <f t="shared" si="39"/>
        <v>0.90476190476190477</v>
      </c>
      <c r="M478" s="16">
        <f t="shared" ca="1" si="41"/>
        <v>132.6457395156165</v>
      </c>
      <c r="N478" s="18">
        <f t="shared" ca="1" si="40"/>
        <v>0</v>
      </c>
    </row>
    <row r="479" spans="10:14" x14ac:dyDescent="0.25">
      <c r="J479" s="16">
        <f t="shared" ca="1" si="37"/>
        <v>9.092898974106701</v>
      </c>
      <c r="K479" s="16">
        <f t="shared" ca="1" si="38"/>
        <v>34.967406668382829</v>
      </c>
      <c r="L479" s="17">
        <f t="shared" si="39"/>
        <v>0.90476190476190477</v>
      </c>
      <c r="M479" s="16">
        <f t="shared" ca="1" si="41"/>
        <v>287.673658486671</v>
      </c>
      <c r="N479" s="18">
        <f t="shared" ca="1" si="40"/>
        <v>1</v>
      </c>
    </row>
    <row r="480" spans="10:14" x14ac:dyDescent="0.25">
      <c r="J480" s="16">
        <f t="shared" ca="1" si="37"/>
        <v>9.8334847474537206</v>
      </c>
      <c r="K480" s="16">
        <f t="shared" ca="1" si="38"/>
        <v>38.726917931202109</v>
      </c>
      <c r="L480" s="17">
        <f t="shared" si="39"/>
        <v>0.90476190476190477</v>
      </c>
      <c r="M480" s="16">
        <f t="shared" ca="1" si="41"/>
        <v>344.55193233595196</v>
      </c>
      <c r="N480" s="18">
        <f t="shared" ca="1" si="40"/>
        <v>1</v>
      </c>
    </row>
    <row r="481" spans="10:14" x14ac:dyDescent="0.25">
      <c r="J481" s="16">
        <f t="shared" ca="1" si="37"/>
        <v>7.2112722795661757</v>
      </c>
      <c r="K481" s="16">
        <f t="shared" ca="1" si="38"/>
        <v>39.579402960368441</v>
      </c>
      <c r="L481" s="17">
        <f t="shared" si="39"/>
        <v>0.90476190476190477</v>
      </c>
      <c r="M481" s="16">
        <f t="shared" ca="1" si="41"/>
        <v>258.23519889465729</v>
      </c>
      <c r="N481" s="18">
        <f t="shared" ca="1" si="40"/>
        <v>1</v>
      </c>
    </row>
    <row r="482" spans="10:14" x14ac:dyDescent="0.25">
      <c r="J482" s="16">
        <f t="shared" ca="1" si="37"/>
        <v>6.2850954452356849</v>
      </c>
      <c r="K482" s="16">
        <f t="shared" ca="1" si="38"/>
        <v>43.196885619610583</v>
      </c>
      <c r="L482" s="17">
        <f t="shared" si="39"/>
        <v>0.90476190476190477</v>
      </c>
      <c r="M482" s="16">
        <f t="shared" ca="1" si="41"/>
        <v>245.63973486035454</v>
      </c>
      <c r="N482" s="18">
        <f t="shared" ca="1" si="40"/>
        <v>1</v>
      </c>
    </row>
    <row r="483" spans="10:14" x14ac:dyDescent="0.25">
      <c r="J483" s="16">
        <f t="shared" ca="1" si="37"/>
        <v>13.862781684866285</v>
      </c>
      <c r="K483" s="16">
        <f t="shared" ca="1" si="38"/>
        <v>24.780516901143908</v>
      </c>
      <c r="L483" s="17">
        <f t="shared" si="39"/>
        <v>0.90476190476190477</v>
      </c>
      <c r="M483" s="16">
        <f t="shared" ca="1" si="41"/>
        <v>310.81004861596415</v>
      </c>
      <c r="N483" s="18">
        <f t="shared" ca="1" si="40"/>
        <v>1</v>
      </c>
    </row>
    <row r="484" spans="10:14" x14ac:dyDescent="0.25">
      <c r="J484" s="16">
        <f t="shared" ca="1" si="37"/>
        <v>9.4610990612287669</v>
      </c>
      <c r="K484" s="16">
        <f t="shared" ca="1" si="38"/>
        <v>25.134579125254906</v>
      </c>
      <c r="L484" s="17">
        <f t="shared" si="39"/>
        <v>0.90476190476190477</v>
      </c>
      <c r="M484" s="16">
        <f t="shared" ca="1" si="41"/>
        <v>215.15305316001226</v>
      </c>
      <c r="N484" s="18">
        <f t="shared" ca="1" si="40"/>
        <v>0</v>
      </c>
    </row>
    <row r="485" spans="10:14" x14ac:dyDescent="0.25">
      <c r="J485" s="16">
        <f t="shared" ca="1" si="37"/>
        <v>10.711238136435803</v>
      </c>
      <c r="K485" s="16">
        <f t="shared" ca="1" si="38"/>
        <v>32.247756342901404</v>
      </c>
      <c r="L485" s="17">
        <f t="shared" si="39"/>
        <v>0.90476190476190477</v>
      </c>
      <c r="M485" s="16">
        <f t="shared" ca="1" si="41"/>
        <v>312.5168835017584</v>
      </c>
      <c r="N485" s="18">
        <f t="shared" ca="1" si="40"/>
        <v>1</v>
      </c>
    </row>
    <row r="486" spans="10:14" x14ac:dyDescent="0.25">
      <c r="J486" s="16">
        <f t="shared" ca="1" si="37"/>
        <v>3.2252766890594118</v>
      </c>
      <c r="K486" s="16">
        <f t="shared" ca="1" si="38"/>
        <v>24.11645617234625</v>
      </c>
      <c r="L486" s="17">
        <f t="shared" si="39"/>
        <v>0.90476190476190477</v>
      </c>
      <c r="M486" s="16">
        <f t="shared" ca="1" si="41"/>
        <v>70.374411161544543</v>
      </c>
      <c r="N486" s="18">
        <f t="shared" ca="1" si="40"/>
        <v>0</v>
      </c>
    </row>
    <row r="487" spans="10:14" x14ac:dyDescent="0.25">
      <c r="J487" s="16">
        <f t="shared" ca="1" si="37"/>
        <v>4.1378383723782814</v>
      </c>
      <c r="K487" s="16">
        <f t="shared" ca="1" si="38"/>
        <v>26.010905939169735</v>
      </c>
      <c r="L487" s="17">
        <f t="shared" si="39"/>
        <v>0.90476190476190477</v>
      </c>
      <c r="M487" s="16">
        <f t="shared" ca="1" si="41"/>
        <v>97.378550914902618</v>
      </c>
      <c r="N487" s="18">
        <f t="shared" ca="1" si="40"/>
        <v>0</v>
      </c>
    </row>
    <row r="488" spans="10:14" x14ac:dyDescent="0.25">
      <c r="J488" s="16">
        <f t="shared" ca="1" si="37"/>
        <v>7.8145499704047783</v>
      </c>
      <c r="K488" s="16">
        <f t="shared" ca="1" si="38"/>
        <v>29.477992357028754</v>
      </c>
      <c r="L488" s="17">
        <f t="shared" si="39"/>
        <v>0.90476190476190477</v>
      </c>
      <c r="M488" s="16">
        <f t="shared" ca="1" si="41"/>
        <v>208.41845912966738</v>
      </c>
      <c r="N488" s="18">
        <f t="shared" ca="1" si="40"/>
        <v>0</v>
      </c>
    </row>
    <row r="489" spans="10:14" x14ac:dyDescent="0.25">
      <c r="J489" s="16">
        <f t="shared" ca="1" si="37"/>
        <v>10.580101159138797</v>
      </c>
      <c r="K489" s="16">
        <f t="shared" ca="1" si="38"/>
        <v>20.57946552201599</v>
      </c>
      <c r="L489" s="17">
        <f t="shared" si="39"/>
        <v>0.90476190476190477</v>
      </c>
      <c r="M489" s="16">
        <f t="shared" ca="1" si="41"/>
        <v>196.99636730737274</v>
      </c>
      <c r="N489" s="18">
        <f t="shared" ca="1" si="40"/>
        <v>0</v>
      </c>
    </row>
    <row r="490" spans="10:14" x14ac:dyDescent="0.25">
      <c r="J490" s="16">
        <f t="shared" ca="1" si="37"/>
        <v>12.289698949111513</v>
      </c>
      <c r="K490" s="16">
        <f t="shared" ca="1" si="38"/>
        <v>44.384744610342537</v>
      </c>
      <c r="L490" s="17">
        <f t="shared" si="39"/>
        <v>0.90476190476190477</v>
      </c>
      <c r="M490" s="16">
        <f t="shared" ca="1" si="41"/>
        <v>493.52513498532767</v>
      </c>
      <c r="N490" s="18">
        <f t="shared" ca="1" si="40"/>
        <v>1</v>
      </c>
    </row>
    <row r="491" spans="10:14" x14ac:dyDescent="0.25">
      <c r="J491" s="16">
        <f t="shared" ca="1" si="37"/>
        <v>5.9775871830247462</v>
      </c>
      <c r="K491" s="16">
        <f t="shared" ca="1" si="38"/>
        <v>39.23841747011285</v>
      </c>
      <c r="L491" s="17">
        <f t="shared" si="39"/>
        <v>0.90476190476190477</v>
      </c>
      <c r="M491" s="16">
        <f t="shared" ca="1" si="41"/>
        <v>212.21286503232841</v>
      </c>
      <c r="N491" s="18">
        <f t="shared" ca="1" si="40"/>
        <v>0</v>
      </c>
    </row>
    <row r="492" spans="10:14" x14ac:dyDescent="0.25">
      <c r="J492" s="16">
        <f t="shared" ca="1" si="37"/>
        <v>10.898839025827096</v>
      </c>
      <c r="K492" s="16">
        <f t="shared" ca="1" si="38"/>
        <v>36.958340641801875</v>
      </c>
      <c r="L492" s="17">
        <f t="shared" si="39"/>
        <v>0.90476190476190477</v>
      </c>
      <c r="M492" s="16">
        <f t="shared" ca="1" si="41"/>
        <v>364.44081433414078</v>
      </c>
      <c r="N492" s="18">
        <f t="shared" ca="1" si="40"/>
        <v>1</v>
      </c>
    </row>
    <row r="493" spans="10:14" x14ac:dyDescent="0.25">
      <c r="J493" s="16">
        <f t="shared" ca="1" si="37"/>
        <v>6.8068912144081404</v>
      </c>
      <c r="K493" s="16">
        <f t="shared" ca="1" si="38"/>
        <v>22.609963689262234</v>
      </c>
      <c r="L493" s="17">
        <f t="shared" si="39"/>
        <v>0.90476190476190477</v>
      </c>
      <c r="M493" s="16">
        <f t="shared" ca="1" si="41"/>
        <v>139.24608098552366</v>
      </c>
      <c r="N493" s="18">
        <f t="shared" ca="1" si="40"/>
        <v>0</v>
      </c>
    </row>
    <row r="494" spans="10:14" x14ac:dyDescent="0.25">
      <c r="J494" s="16">
        <f t="shared" ca="1" si="37"/>
        <v>5.4557809149945564</v>
      </c>
      <c r="K494" s="16">
        <f t="shared" ca="1" si="38"/>
        <v>39.798822230707302</v>
      </c>
      <c r="L494" s="17">
        <f t="shared" si="39"/>
        <v>0.90476190476190477</v>
      </c>
      <c r="M494" s="16">
        <f t="shared" ca="1" si="41"/>
        <v>196.45425907359646</v>
      </c>
      <c r="N494" s="18">
        <f t="shared" ca="1" si="40"/>
        <v>0</v>
      </c>
    </row>
    <row r="495" spans="10:14" x14ac:dyDescent="0.25">
      <c r="J495" s="16">
        <f t="shared" ca="1" si="37"/>
        <v>9.1164923239646054</v>
      </c>
      <c r="K495" s="16">
        <f t="shared" ca="1" si="38"/>
        <v>39.43406175974053</v>
      </c>
      <c r="L495" s="17">
        <f t="shared" si="39"/>
        <v>0.90476190476190477</v>
      </c>
      <c r="M495" s="16">
        <f t="shared" ca="1" si="41"/>
        <v>325.26219549395211</v>
      </c>
      <c r="N495" s="18">
        <f t="shared" ca="1" si="40"/>
        <v>1</v>
      </c>
    </row>
    <row r="496" spans="10:14" x14ac:dyDescent="0.25">
      <c r="J496" s="16">
        <f t="shared" ca="1" si="37"/>
        <v>4.419482480843393</v>
      </c>
      <c r="K496" s="16">
        <f t="shared" ca="1" si="38"/>
        <v>34.43455069558528</v>
      </c>
      <c r="L496" s="17">
        <f t="shared" si="39"/>
        <v>0.90476190476190477</v>
      </c>
      <c r="M496" s="16">
        <f t="shared" ca="1" si="41"/>
        <v>137.68928462677158</v>
      </c>
      <c r="N496" s="18">
        <f t="shared" ca="1" si="40"/>
        <v>0</v>
      </c>
    </row>
    <row r="497" spans="10:14" x14ac:dyDescent="0.25">
      <c r="J497" s="16">
        <f t="shared" ca="1" si="37"/>
        <v>10.931341941524167</v>
      </c>
      <c r="K497" s="16">
        <f t="shared" ca="1" si="38"/>
        <v>33.253152722153949</v>
      </c>
      <c r="L497" s="17">
        <f t="shared" si="39"/>
        <v>0.90476190476190477</v>
      </c>
      <c r="M497" s="16">
        <f t="shared" ca="1" si="41"/>
        <v>328.88238465486717</v>
      </c>
      <c r="N497" s="18">
        <f t="shared" ca="1" si="40"/>
        <v>1</v>
      </c>
    </row>
    <row r="498" spans="10:14" x14ac:dyDescent="0.25">
      <c r="J498" s="16">
        <f t="shared" ca="1" si="37"/>
        <v>8.9671129242981582</v>
      </c>
      <c r="K498" s="16">
        <f t="shared" ca="1" si="38"/>
        <v>30.063883179807579</v>
      </c>
      <c r="L498" s="17">
        <f t="shared" si="39"/>
        <v>0.90476190476190477</v>
      </c>
      <c r="M498" s="16">
        <f t="shared" ca="1" si="41"/>
        <v>243.9113558527909</v>
      </c>
      <c r="N498" s="18">
        <f t="shared" ca="1" si="40"/>
        <v>1</v>
      </c>
    </row>
    <row r="499" spans="10:14" x14ac:dyDescent="0.25">
      <c r="J499" s="16">
        <f t="shared" ca="1" si="37"/>
        <v>8.4462374234234918</v>
      </c>
      <c r="K499" s="16">
        <f t="shared" ca="1" si="38"/>
        <v>27.509161961393851</v>
      </c>
      <c r="L499" s="17">
        <f t="shared" si="39"/>
        <v>0.90476190476190477</v>
      </c>
      <c r="M499" s="16">
        <f t="shared" ca="1" si="41"/>
        <v>210.22044531721482</v>
      </c>
      <c r="N499" s="18">
        <f t="shared" ca="1" si="40"/>
        <v>0</v>
      </c>
    </row>
    <row r="500" spans="10:14" x14ac:dyDescent="0.25">
      <c r="J500" s="16">
        <f t="shared" ca="1" si="37"/>
        <v>8.2614257541913965</v>
      </c>
      <c r="K500" s="16">
        <f t="shared" ca="1" si="38"/>
        <v>40.272048114115869</v>
      </c>
      <c r="L500" s="17">
        <f t="shared" si="39"/>
        <v>0.90476190476190477</v>
      </c>
      <c r="M500" s="16">
        <f t="shared" ca="1" si="41"/>
        <v>301.01838922932598</v>
      </c>
      <c r="N500" s="18">
        <f t="shared" ca="1" si="40"/>
        <v>1</v>
      </c>
    </row>
    <row r="501" spans="10:14" x14ac:dyDescent="0.25">
      <c r="J501" s="16">
        <f t="shared" ca="1" si="37"/>
        <v>12.328108514968903</v>
      </c>
      <c r="K501" s="16">
        <f t="shared" ca="1" si="38"/>
        <v>40.613240853736812</v>
      </c>
      <c r="L501" s="17">
        <f t="shared" si="39"/>
        <v>0.90476190476190477</v>
      </c>
      <c r="M501" s="16">
        <f t="shared" ca="1" si="41"/>
        <v>453.00020797139422</v>
      </c>
      <c r="N501" s="18">
        <f t="shared" ca="1" si="40"/>
        <v>1</v>
      </c>
    </row>
    <row r="502" spans="10:14" x14ac:dyDescent="0.25">
      <c r="J502" s="16">
        <f t="shared" ca="1" si="37"/>
        <v>7.2714009729670241</v>
      </c>
      <c r="K502" s="16">
        <f t="shared" ca="1" si="38"/>
        <v>26.377456328109616</v>
      </c>
      <c r="L502" s="17">
        <f t="shared" si="39"/>
        <v>0.90476190476190477</v>
      </c>
      <c r="M502" s="16">
        <f t="shared" ca="1" si="41"/>
        <v>173.53429383636276</v>
      </c>
      <c r="N502" s="18">
        <f t="shared" ca="1" si="40"/>
        <v>0</v>
      </c>
    </row>
    <row r="503" spans="10:14" x14ac:dyDescent="0.25">
      <c r="J503" s="16">
        <f t="shared" ca="1" si="37"/>
        <v>3.8525904195140548</v>
      </c>
      <c r="K503" s="16">
        <f t="shared" ca="1" si="38"/>
        <v>29.953165688769019</v>
      </c>
      <c r="L503" s="17">
        <f t="shared" si="39"/>
        <v>0.90476190476190477</v>
      </c>
      <c r="M503" s="16">
        <f t="shared" ca="1" si="41"/>
        <v>104.40706210317637</v>
      </c>
      <c r="N503" s="18">
        <f t="shared" ca="1" si="40"/>
        <v>0</v>
      </c>
    </row>
    <row r="504" spans="10:14" x14ac:dyDescent="0.25">
      <c r="J504" s="16">
        <f t="shared" ca="1" si="37"/>
        <v>8.1416406131990993</v>
      </c>
      <c r="K504" s="16">
        <f t="shared" ca="1" si="38"/>
        <v>32.022315463947329</v>
      </c>
      <c r="L504" s="17">
        <f t="shared" si="39"/>
        <v>0.90476190476190477</v>
      </c>
      <c r="M504" s="16">
        <f t="shared" ca="1" si="41"/>
        <v>235.88426181376173</v>
      </c>
      <c r="N504" s="18">
        <f t="shared" ca="1" si="40"/>
        <v>0</v>
      </c>
    </row>
    <row r="505" spans="10:14" x14ac:dyDescent="0.25">
      <c r="J505" s="16">
        <f t="shared" ca="1" si="37"/>
        <v>4.2587681651015421</v>
      </c>
      <c r="K505" s="16">
        <f t="shared" ca="1" si="38"/>
        <v>43.46212454762447</v>
      </c>
      <c r="L505" s="17">
        <f t="shared" si="39"/>
        <v>0.90476190476190477</v>
      </c>
      <c r="M505" s="16">
        <f t="shared" ca="1" si="41"/>
        <v>167.46700646718693</v>
      </c>
      <c r="N505" s="18">
        <f t="shared" ca="1" si="40"/>
        <v>0</v>
      </c>
    </row>
    <row r="506" spans="10:14" x14ac:dyDescent="0.25">
      <c r="J506" s="16">
        <f t="shared" ca="1" si="37"/>
        <v>9.0721560150710179</v>
      </c>
      <c r="K506" s="16">
        <f t="shared" ca="1" si="38"/>
        <v>32.332095453082118</v>
      </c>
      <c r="L506" s="17">
        <f t="shared" si="39"/>
        <v>0.90476190476190477</v>
      </c>
      <c r="M506" s="16">
        <f t="shared" ca="1" si="41"/>
        <v>265.38640336409793</v>
      </c>
      <c r="N506" s="18">
        <f t="shared" ca="1" si="40"/>
        <v>1</v>
      </c>
    </row>
    <row r="507" spans="10:14" x14ac:dyDescent="0.25">
      <c r="J507" s="16">
        <f t="shared" ca="1" si="37"/>
        <v>10.506335655496089</v>
      </c>
      <c r="K507" s="16">
        <f t="shared" ca="1" si="38"/>
        <v>45.144753570457496</v>
      </c>
      <c r="L507" s="17">
        <f t="shared" si="39"/>
        <v>0.90476190476190477</v>
      </c>
      <c r="M507" s="16">
        <f t="shared" ca="1" si="41"/>
        <v>429.13394037246468</v>
      </c>
      <c r="N507" s="18">
        <f t="shared" ca="1" si="40"/>
        <v>1</v>
      </c>
    </row>
    <row r="508" spans="10:14" x14ac:dyDescent="0.25">
      <c r="J508" s="16">
        <f t="shared" ca="1" si="37"/>
        <v>9.5172037009113204</v>
      </c>
      <c r="K508" s="16">
        <f t="shared" ca="1" si="38"/>
        <v>43.70384178210513</v>
      </c>
      <c r="L508" s="17">
        <f t="shared" si="39"/>
        <v>0.90476190476190477</v>
      </c>
      <c r="M508" s="16">
        <f t="shared" ca="1" si="41"/>
        <v>376.32518715719914</v>
      </c>
      <c r="N508" s="18">
        <f t="shared" ca="1" si="40"/>
        <v>1</v>
      </c>
    </row>
    <row r="509" spans="10:14" x14ac:dyDescent="0.25">
      <c r="J509" s="16">
        <f t="shared" ca="1" si="37"/>
        <v>10.476271383590523</v>
      </c>
      <c r="K509" s="16">
        <f t="shared" ca="1" si="38"/>
        <v>33.735910342106685</v>
      </c>
      <c r="L509" s="17">
        <f t="shared" si="39"/>
        <v>0.90476190476190477</v>
      </c>
      <c r="M509" s="16">
        <f t="shared" ca="1" si="41"/>
        <v>319.76688048625567</v>
      </c>
      <c r="N509" s="18">
        <f t="shared" ca="1" si="40"/>
        <v>1</v>
      </c>
    </row>
    <row r="510" spans="10:14" x14ac:dyDescent="0.25">
      <c r="J510" s="16">
        <f t="shared" ca="1" si="37"/>
        <v>10.808181596312496</v>
      </c>
      <c r="K510" s="16">
        <f t="shared" ca="1" si="38"/>
        <v>40.752015439582912</v>
      </c>
      <c r="L510" s="17">
        <f t="shared" si="39"/>
        <v>0.90476190476190477</v>
      </c>
      <c r="M510" s="16">
        <f t="shared" ca="1" si="41"/>
        <v>398.50707059276726</v>
      </c>
      <c r="N510" s="18">
        <f t="shared" ca="1" si="40"/>
        <v>1</v>
      </c>
    </row>
    <row r="511" spans="10:14" x14ac:dyDescent="0.25">
      <c r="J511" s="16">
        <f t="shared" ca="1" si="37"/>
        <v>8.1448786919927425</v>
      </c>
      <c r="K511" s="16">
        <f t="shared" ca="1" si="38"/>
        <v>35.82456816181422</v>
      </c>
      <c r="L511" s="17">
        <f t="shared" si="39"/>
        <v>0.90476190476190477</v>
      </c>
      <c r="M511" s="16">
        <f t="shared" ca="1" si="41"/>
        <v>263.99754645471631</v>
      </c>
      <c r="N511" s="18">
        <f t="shared" ca="1" si="40"/>
        <v>1</v>
      </c>
    </row>
    <row r="512" spans="10:14" x14ac:dyDescent="0.25">
      <c r="J512" s="16">
        <f t="shared" ca="1" si="37"/>
        <v>9.553767944320203</v>
      </c>
      <c r="K512" s="16">
        <f t="shared" ca="1" si="38"/>
        <v>23.629757498542485</v>
      </c>
      <c r="L512" s="17">
        <f t="shared" si="39"/>
        <v>0.90476190476190477</v>
      </c>
      <c r="M512" s="16">
        <f t="shared" ca="1" si="41"/>
        <v>204.25291308147942</v>
      </c>
      <c r="N512" s="18">
        <f t="shared" ca="1" si="40"/>
        <v>0</v>
      </c>
    </row>
    <row r="513" spans="10:14" x14ac:dyDescent="0.25">
      <c r="J513" s="16">
        <f t="shared" ca="1" si="37"/>
        <v>7.4179708144986787</v>
      </c>
      <c r="K513" s="16">
        <f t="shared" ca="1" si="38"/>
        <v>32.662868996763763</v>
      </c>
      <c r="L513" s="17">
        <f t="shared" si="39"/>
        <v>0.90476190476190477</v>
      </c>
      <c r="M513" s="16">
        <f t="shared" ca="1" si="41"/>
        <v>219.21676046571235</v>
      </c>
      <c r="N513" s="18">
        <f t="shared" ca="1" si="40"/>
        <v>0</v>
      </c>
    </row>
    <row r="514" spans="10:14" x14ac:dyDescent="0.25">
      <c r="J514" s="16">
        <f t="shared" ca="1" si="37"/>
        <v>8.3279225567651665</v>
      </c>
      <c r="K514" s="16">
        <f t="shared" ca="1" si="38"/>
        <v>30.770443487830878</v>
      </c>
      <c r="L514" s="17">
        <f t="shared" si="39"/>
        <v>0.90476190476190477</v>
      </c>
      <c r="M514" s="16">
        <f t="shared" ca="1" si="41"/>
        <v>231.84873988931034</v>
      </c>
      <c r="N514" s="18">
        <f t="shared" ca="1" si="40"/>
        <v>0</v>
      </c>
    </row>
    <row r="515" spans="10:14" x14ac:dyDescent="0.25">
      <c r="J515" s="16">
        <f t="shared" ca="1" si="37"/>
        <v>7.8376471373484948</v>
      </c>
      <c r="K515" s="16">
        <f t="shared" ca="1" si="38"/>
        <v>25.79820597731257</v>
      </c>
      <c r="L515" s="17">
        <f t="shared" si="39"/>
        <v>0.90476190476190477</v>
      </c>
      <c r="M515" s="16">
        <f t="shared" ca="1" si="41"/>
        <v>182.94035568140015</v>
      </c>
      <c r="N515" s="18">
        <f t="shared" ca="1" si="40"/>
        <v>0</v>
      </c>
    </row>
    <row r="516" spans="10:14" x14ac:dyDescent="0.25">
      <c r="J516" s="16">
        <f t="shared" ref="J516:J579" ca="1" si="42">$D$2*(-LN(1-RAND()))^(1/$D$3)</f>
        <v>6.9968348326619827</v>
      </c>
      <c r="K516" s="16">
        <f t="shared" ref="K516:K579" ca="1" si="43">RAND()*($H$3-$H$2)+$H$2</f>
        <v>35.252045135543298</v>
      </c>
      <c r="L516" s="17">
        <f t="shared" ref="L516:L579" si="44">$D$22</f>
        <v>0.90476190476190477</v>
      </c>
      <c r="M516" s="16">
        <f t="shared" ca="1" si="41"/>
        <v>223.16200043866158</v>
      </c>
      <c r="N516" s="18">
        <f t="shared" ref="N516:N579" ca="1" si="45">IF(M516&gt;$R$2,1,0)</f>
        <v>0</v>
      </c>
    </row>
    <row r="517" spans="10:14" x14ac:dyDescent="0.25">
      <c r="J517" s="16">
        <f t="shared" ca="1" si="42"/>
        <v>10.645920630346744</v>
      </c>
      <c r="K517" s="16">
        <f t="shared" ca="1" si="43"/>
        <v>38.890878235236386</v>
      </c>
      <c r="L517" s="17">
        <f t="shared" si="44"/>
        <v>0.90476190476190477</v>
      </c>
      <c r="M517" s="16">
        <f t="shared" ca="1" si="41"/>
        <v>374.597850276158</v>
      </c>
      <c r="N517" s="18">
        <f t="shared" ca="1" si="45"/>
        <v>1</v>
      </c>
    </row>
    <row r="518" spans="10:14" x14ac:dyDescent="0.25">
      <c r="J518" s="16">
        <f t="shared" ca="1" si="42"/>
        <v>2.9397147503382319</v>
      </c>
      <c r="K518" s="16">
        <f t="shared" ca="1" si="43"/>
        <v>31.839154948937107</v>
      </c>
      <c r="L518" s="17">
        <f t="shared" si="44"/>
        <v>0.90476190476190477</v>
      </c>
      <c r="M518" s="16">
        <f t="shared" ca="1" si="41"/>
        <v>84.683935018676365</v>
      </c>
      <c r="N518" s="18">
        <f t="shared" ca="1" si="45"/>
        <v>0</v>
      </c>
    </row>
    <row r="519" spans="10:14" x14ac:dyDescent="0.25">
      <c r="J519" s="16">
        <f t="shared" ca="1" si="42"/>
        <v>6.215263641848197</v>
      </c>
      <c r="K519" s="16">
        <f t="shared" ca="1" si="43"/>
        <v>25.073014971483278</v>
      </c>
      <c r="L519" s="17">
        <f t="shared" si="44"/>
        <v>0.90476190476190477</v>
      </c>
      <c r="M519" s="16">
        <f t="shared" ca="1" si="41"/>
        <v>140.99393183484452</v>
      </c>
      <c r="N519" s="18">
        <f t="shared" ca="1" si="45"/>
        <v>0</v>
      </c>
    </row>
    <row r="520" spans="10:14" x14ac:dyDescent="0.25">
      <c r="J520" s="16">
        <f t="shared" ca="1" si="42"/>
        <v>8.3078184545582481</v>
      </c>
      <c r="K520" s="16">
        <f t="shared" ca="1" si="43"/>
        <v>32.472413857330814</v>
      </c>
      <c r="L520" s="17">
        <f t="shared" si="44"/>
        <v>0.90476190476190477</v>
      </c>
      <c r="M520" s="16">
        <f t="shared" ca="1" si="41"/>
        <v>244.08206966913011</v>
      </c>
      <c r="N520" s="18">
        <f t="shared" ca="1" si="45"/>
        <v>1</v>
      </c>
    </row>
    <row r="521" spans="10:14" x14ac:dyDescent="0.25">
      <c r="J521" s="16">
        <f t="shared" ca="1" si="42"/>
        <v>9.9224682879993349</v>
      </c>
      <c r="K521" s="16">
        <f t="shared" ca="1" si="43"/>
        <v>23.706175938888563</v>
      </c>
      <c r="L521" s="17">
        <f t="shared" si="44"/>
        <v>0.90476190476190477</v>
      </c>
      <c r="M521" s="16">
        <f t="shared" ca="1" si="41"/>
        <v>212.82151431827324</v>
      </c>
      <c r="N521" s="18">
        <f t="shared" ca="1" si="45"/>
        <v>0</v>
      </c>
    </row>
    <row r="522" spans="10:14" x14ac:dyDescent="0.25">
      <c r="J522" s="16">
        <f t="shared" ca="1" si="42"/>
        <v>11.275254944668262</v>
      </c>
      <c r="K522" s="16">
        <f t="shared" ca="1" si="43"/>
        <v>26.861890665279738</v>
      </c>
      <c r="L522" s="17">
        <f t="shared" si="44"/>
        <v>0.90476190476190477</v>
      </c>
      <c r="M522" s="16">
        <f t="shared" ca="1" si="41"/>
        <v>274.02945930427802</v>
      </c>
      <c r="N522" s="18">
        <f t="shared" ca="1" si="45"/>
        <v>1</v>
      </c>
    </row>
    <row r="523" spans="10:14" x14ac:dyDescent="0.25">
      <c r="J523" s="16">
        <f t="shared" ca="1" si="42"/>
        <v>9.2596880630733533</v>
      </c>
      <c r="K523" s="16">
        <f t="shared" ca="1" si="43"/>
        <v>25.754946763404636</v>
      </c>
      <c r="L523" s="17">
        <f t="shared" si="44"/>
        <v>0.90476190476190477</v>
      </c>
      <c r="M523" s="16">
        <f t="shared" ca="1" si="41"/>
        <v>215.77012805207448</v>
      </c>
      <c r="N523" s="18">
        <f t="shared" ca="1" si="45"/>
        <v>0</v>
      </c>
    </row>
    <row r="524" spans="10:14" x14ac:dyDescent="0.25">
      <c r="J524" s="16">
        <f t="shared" ca="1" si="42"/>
        <v>7.7249630379687506</v>
      </c>
      <c r="K524" s="16">
        <f t="shared" ca="1" si="43"/>
        <v>23.508480151526641</v>
      </c>
      <c r="L524" s="17">
        <f t="shared" si="44"/>
        <v>0.90476190476190477</v>
      </c>
      <c r="M524" s="16">
        <f t="shared" ca="1" si="41"/>
        <v>164.30669832085434</v>
      </c>
      <c r="N524" s="18">
        <f t="shared" ca="1" si="45"/>
        <v>0</v>
      </c>
    </row>
    <row r="525" spans="10:14" x14ac:dyDescent="0.25">
      <c r="J525" s="16">
        <f t="shared" ca="1" si="42"/>
        <v>12.510181852242507</v>
      </c>
      <c r="K525" s="16">
        <f t="shared" ca="1" si="43"/>
        <v>38.045111744974079</v>
      </c>
      <c r="L525" s="17">
        <f t="shared" si="44"/>
        <v>0.90476190476190477</v>
      </c>
      <c r="M525" s="16">
        <f t="shared" ca="1" si="41"/>
        <v>430.62257446913077</v>
      </c>
      <c r="N525" s="18">
        <f t="shared" ca="1" si="45"/>
        <v>1</v>
      </c>
    </row>
    <row r="526" spans="10:14" x14ac:dyDescent="0.25">
      <c r="J526" s="16">
        <f t="shared" ca="1" si="42"/>
        <v>10.798869185652144</v>
      </c>
      <c r="K526" s="16">
        <f t="shared" ca="1" si="43"/>
        <v>44.43287669518044</v>
      </c>
      <c r="L526" s="17">
        <f t="shared" si="44"/>
        <v>0.90476190476190477</v>
      </c>
      <c r="M526" s="16">
        <f t="shared" ca="1" si="41"/>
        <v>434.12722078551622</v>
      </c>
      <c r="N526" s="18">
        <f t="shared" ca="1" si="45"/>
        <v>1</v>
      </c>
    </row>
    <row r="527" spans="10:14" x14ac:dyDescent="0.25">
      <c r="J527" s="16">
        <f t="shared" ca="1" si="42"/>
        <v>6.272908427132192</v>
      </c>
      <c r="K527" s="16">
        <f t="shared" ca="1" si="43"/>
        <v>40.974623758829928</v>
      </c>
      <c r="L527" s="17">
        <f t="shared" si="44"/>
        <v>0.90476190476190477</v>
      </c>
      <c r="M527" s="16">
        <f t="shared" ca="1" si="41"/>
        <v>232.55100908720806</v>
      </c>
      <c r="N527" s="18">
        <f t="shared" ca="1" si="45"/>
        <v>0</v>
      </c>
    </row>
    <row r="528" spans="10:14" x14ac:dyDescent="0.25">
      <c r="J528" s="16">
        <f t="shared" ca="1" si="42"/>
        <v>8.6784783580911817</v>
      </c>
      <c r="K528" s="16">
        <f t="shared" ca="1" si="43"/>
        <v>34.410427598476055</v>
      </c>
      <c r="L528" s="17">
        <f t="shared" si="44"/>
        <v>0.90476190476190477</v>
      </c>
      <c r="M528" s="16">
        <f t="shared" ca="1" si="41"/>
        <v>270.18918442451053</v>
      </c>
      <c r="N528" s="18">
        <f t="shared" ca="1" si="45"/>
        <v>1</v>
      </c>
    </row>
    <row r="529" spans="10:14" x14ac:dyDescent="0.25">
      <c r="J529" s="16">
        <f t="shared" ca="1" si="42"/>
        <v>8.1772007573209766</v>
      </c>
      <c r="K529" s="16">
        <f t="shared" ca="1" si="43"/>
        <v>30.070454602177648</v>
      </c>
      <c r="L529" s="17">
        <f t="shared" si="44"/>
        <v>0.90476190476190477</v>
      </c>
      <c r="M529" s="16">
        <f t="shared" ca="1" si="41"/>
        <v>222.4738447034452</v>
      </c>
      <c r="N529" s="18">
        <f t="shared" ca="1" si="45"/>
        <v>0</v>
      </c>
    </row>
    <row r="530" spans="10:14" x14ac:dyDescent="0.25">
      <c r="J530" s="16">
        <f t="shared" ca="1" si="42"/>
        <v>11.11663995744108</v>
      </c>
      <c r="K530" s="16">
        <f t="shared" ca="1" si="43"/>
        <v>40.162505697526832</v>
      </c>
      <c r="L530" s="17">
        <f t="shared" si="44"/>
        <v>0.90476190476190477</v>
      </c>
      <c r="M530" s="16">
        <f t="shared" ca="1" si="41"/>
        <v>403.95096175874073</v>
      </c>
      <c r="N530" s="18">
        <f t="shared" ca="1" si="45"/>
        <v>1</v>
      </c>
    </row>
    <row r="531" spans="10:14" x14ac:dyDescent="0.25">
      <c r="J531" s="16">
        <f t="shared" ca="1" si="42"/>
        <v>7.0312385296749005</v>
      </c>
      <c r="K531" s="16">
        <f t="shared" ca="1" si="43"/>
        <v>25.764222697340614</v>
      </c>
      <c r="L531" s="17">
        <f t="shared" si="44"/>
        <v>0.90476190476190477</v>
      </c>
      <c r="M531" s="16">
        <f t="shared" ref="M531:M594" ca="1" si="46">J531*K531*L531</f>
        <v>163.90159576269775</v>
      </c>
      <c r="N531" s="18">
        <f t="shared" ca="1" si="45"/>
        <v>0</v>
      </c>
    </row>
    <row r="532" spans="10:14" x14ac:dyDescent="0.25">
      <c r="J532" s="16">
        <f t="shared" ca="1" si="42"/>
        <v>8.2579874652897871</v>
      </c>
      <c r="K532" s="16">
        <f t="shared" ca="1" si="43"/>
        <v>27.73874804719993</v>
      </c>
      <c r="L532" s="17">
        <f t="shared" si="44"/>
        <v>0.90476190476190477</v>
      </c>
      <c r="M532" s="16">
        <f t="shared" ca="1" si="46"/>
        <v>207.25040189788396</v>
      </c>
      <c r="N532" s="18">
        <f t="shared" ca="1" si="45"/>
        <v>0</v>
      </c>
    </row>
    <row r="533" spans="10:14" x14ac:dyDescent="0.25">
      <c r="J533" s="16">
        <f t="shared" ca="1" si="42"/>
        <v>6.9513760378672558</v>
      </c>
      <c r="K533" s="16">
        <f t="shared" ca="1" si="43"/>
        <v>29.902596559420495</v>
      </c>
      <c r="L533" s="17">
        <f t="shared" si="44"/>
        <v>0.90476190476190477</v>
      </c>
      <c r="M533" s="16">
        <f t="shared" ca="1" si="46"/>
        <v>188.06760336524675</v>
      </c>
      <c r="N533" s="18">
        <f t="shared" ca="1" si="45"/>
        <v>0</v>
      </c>
    </row>
    <row r="534" spans="10:14" x14ac:dyDescent="0.25">
      <c r="J534" s="16">
        <f t="shared" ca="1" si="42"/>
        <v>5.6295407573460929</v>
      </c>
      <c r="K534" s="16">
        <f t="shared" ca="1" si="43"/>
        <v>32.848473734258548</v>
      </c>
      <c r="L534" s="17">
        <f t="shared" si="44"/>
        <v>0.90476190476190477</v>
      </c>
      <c r="M534" s="16">
        <f t="shared" ca="1" si="46"/>
        <v>167.31021963660956</v>
      </c>
      <c r="N534" s="18">
        <f t="shared" ca="1" si="45"/>
        <v>0</v>
      </c>
    </row>
    <row r="535" spans="10:14" x14ac:dyDescent="0.25">
      <c r="J535" s="16">
        <f t="shared" ca="1" si="42"/>
        <v>3.9119640775284354</v>
      </c>
      <c r="K535" s="16">
        <f t="shared" ca="1" si="43"/>
        <v>36.771761768172894</v>
      </c>
      <c r="L535" s="17">
        <f t="shared" si="44"/>
        <v>0.90476190476190477</v>
      </c>
      <c r="M535" s="16">
        <f t="shared" ca="1" si="46"/>
        <v>130.149829094571</v>
      </c>
      <c r="N535" s="18">
        <f t="shared" ca="1" si="45"/>
        <v>0</v>
      </c>
    </row>
    <row r="536" spans="10:14" x14ac:dyDescent="0.25">
      <c r="J536" s="16">
        <f t="shared" ca="1" si="42"/>
        <v>14.614453833639063</v>
      </c>
      <c r="K536" s="16">
        <f t="shared" ca="1" si="43"/>
        <v>28.298312199678559</v>
      </c>
      <c r="L536" s="17">
        <f t="shared" si="44"/>
        <v>0.90476190476190477</v>
      </c>
      <c r="M536" s="16">
        <f t="shared" ca="1" si="46"/>
        <v>374.17729366809715</v>
      </c>
      <c r="N536" s="18">
        <f t="shared" ca="1" si="45"/>
        <v>1</v>
      </c>
    </row>
    <row r="537" spans="10:14" x14ac:dyDescent="0.25">
      <c r="J537" s="16">
        <f t="shared" ca="1" si="42"/>
        <v>11.760413457115773</v>
      </c>
      <c r="K537" s="16">
        <f t="shared" ca="1" si="43"/>
        <v>35.273446896704762</v>
      </c>
      <c r="L537" s="17">
        <f t="shared" si="44"/>
        <v>0.90476190476190477</v>
      </c>
      <c r="M537" s="16">
        <f t="shared" ca="1" si="46"/>
        <v>375.3226700806876</v>
      </c>
      <c r="N537" s="18">
        <f t="shared" ca="1" si="45"/>
        <v>1</v>
      </c>
    </row>
    <row r="538" spans="10:14" x14ac:dyDescent="0.25">
      <c r="J538" s="16">
        <f t="shared" ca="1" si="42"/>
        <v>4.0378792513674524</v>
      </c>
      <c r="K538" s="16">
        <f t="shared" ca="1" si="43"/>
        <v>32.56425429540144</v>
      </c>
      <c r="L538" s="17">
        <f t="shared" si="44"/>
        <v>0.90476190476190477</v>
      </c>
      <c r="M538" s="16">
        <f t="shared" ca="1" si="46"/>
        <v>118.96761944559255</v>
      </c>
      <c r="N538" s="18">
        <f t="shared" ca="1" si="45"/>
        <v>0</v>
      </c>
    </row>
    <row r="539" spans="10:14" x14ac:dyDescent="0.25">
      <c r="J539" s="16">
        <f t="shared" ca="1" si="42"/>
        <v>7.3107100345308353</v>
      </c>
      <c r="K539" s="16">
        <f t="shared" ca="1" si="43"/>
        <v>39.479787318094502</v>
      </c>
      <c r="L539" s="17">
        <f t="shared" si="44"/>
        <v>0.90476190476190477</v>
      </c>
      <c r="M539" s="16">
        <f t="shared" ca="1" si="46"/>
        <v>261.13715565919989</v>
      </c>
      <c r="N539" s="18">
        <f t="shared" ca="1" si="45"/>
        <v>1</v>
      </c>
    </row>
    <row r="540" spans="10:14" x14ac:dyDescent="0.25">
      <c r="J540" s="16">
        <f t="shared" ca="1" si="42"/>
        <v>5.6654738406974223</v>
      </c>
      <c r="K540" s="16">
        <f t="shared" ca="1" si="43"/>
        <v>34.912352633296877</v>
      </c>
      <c r="L540" s="17">
        <f t="shared" si="44"/>
        <v>0.90476190476190477</v>
      </c>
      <c r="M540" s="16">
        <f t="shared" ca="1" si="46"/>
        <v>178.95739955532369</v>
      </c>
      <c r="N540" s="18">
        <f t="shared" ca="1" si="45"/>
        <v>0</v>
      </c>
    </row>
    <row r="541" spans="10:14" x14ac:dyDescent="0.25">
      <c r="J541" s="16">
        <f t="shared" ca="1" si="42"/>
        <v>7.0063162647618524</v>
      </c>
      <c r="K541" s="16">
        <f t="shared" ca="1" si="43"/>
        <v>41.618987112069604</v>
      </c>
      <c r="L541" s="17">
        <f t="shared" si="44"/>
        <v>0.90476190476190477</v>
      </c>
      <c r="M541" s="16">
        <f t="shared" ca="1" si="46"/>
        <v>263.82475905704462</v>
      </c>
      <c r="N541" s="18">
        <f t="shared" ca="1" si="45"/>
        <v>1</v>
      </c>
    </row>
    <row r="542" spans="10:14" x14ac:dyDescent="0.25">
      <c r="J542" s="16">
        <f t="shared" ca="1" si="42"/>
        <v>11.760040186937072</v>
      </c>
      <c r="K542" s="16">
        <f t="shared" ca="1" si="43"/>
        <v>29.702783009278086</v>
      </c>
      <c r="L542" s="17">
        <f t="shared" si="44"/>
        <v>0.90476190476190477</v>
      </c>
      <c r="M542" s="16">
        <f t="shared" ca="1" si="46"/>
        <v>316.03869120031703</v>
      </c>
      <c r="N542" s="18">
        <f t="shared" ca="1" si="45"/>
        <v>1</v>
      </c>
    </row>
    <row r="543" spans="10:14" x14ac:dyDescent="0.25">
      <c r="J543" s="16">
        <f t="shared" ca="1" si="42"/>
        <v>6.9251776046724682</v>
      </c>
      <c r="K543" s="16">
        <f t="shared" ca="1" si="43"/>
        <v>29.894851778114592</v>
      </c>
      <c r="L543" s="17">
        <f t="shared" si="44"/>
        <v>0.90476190476190477</v>
      </c>
      <c r="M543" s="16">
        <f t="shared" ca="1" si="46"/>
        <v>187.31028583558285</v>
      </c>
      <c r="N543" s="18">
        <f t="shared" ca="1" si="45"/>
        <v>0</v>
      </c>
    </row>
    <row r="544" spans="10:14" x14ac:dyDescent="0.25">
      <c r="J544" s="16">
        <f t="shared" ca="1" si="42"/>
        <v>6.1032980862305699</v>
      </c>
      <c r="K544" s="16">
        <f t="shared" ca="1" si="43"/>
        <v>27.868736763166154</v>
      </c>
      <c r="L544" s="17">
        <f t="shared" si="44"/>
        <v>0.90476190476190477</v>
      </c>
      <c r="M544" s="16">
        <f t="shared" ca="1" si="46"/>
        <v>153.89204510921977</v>
      </c>
      <c r="N544" s="18">
        <f t="shared" ca="1" si="45"/>
        <v>0</v>
      </c>
    </row>
    <row r="545" spans="10:14" x14ac:dyDescent="0.25">
      <c r="J545" s="16">
        <f t="shared" ca="1" si="42"/>
        <v>1.9372801994273923</v>
      </c>
      <c r="K545" s="16">
        <f t="shared" ca="1" si="43"/>
        <v>40.503102330190302</v>
      </c>
      <c r="L545" s="17">
        <f t="shared" si="44"/>
        <v>0.90476190476190477</v>
      </c>
      <c r="M545" s="16">
        <f t="shared" ca="1" si="46"/>
        <v>70.992919287310656</v>
      </c>
      <c r="N545" s="18">
        <f t="shared" ca="1" si="45"/>
        <v>0</v>
      </c>
    </row>
    <row r="546" spans="10:14" x14ac:dyDescent="0.25">
      <c r="J546" s="16">
        <f t="shared" ca="1" si="42"/>
        <v>6.9971965485706802</v>
      </c>
      <c r="K546" s="16">
        <f t="shared" ca="1" si="43"/>
        <v>28.648235946229029</v>
      </c>
      <c r="L546" s="17">
        <f t="shared" si="44"/>
        <v>0.90476190476190477</v>
      </c>
      <c r="M546" s="16">
        <f t="shared" ca="1" si="46"/>
        <v>181.3661626679168</v>
      </c>
      <c r="N546" s="18">
        <f t="shared" ca="1" si="45"/>
        <v>0</v>
      </c>
    </row>
    <row r="547" spans="10:14" x14ac:dyDescent="0.25">
      <c r="J547" s="16">
        <f t="shared" ca="1" si="42"/>
        <v>4.8954539289453098</v>
      </c>
      <c r="K547" s="16">
        <f t="shared" ca="1" si="43"/>
        <v>45.156338700570636</v>
      </c>
      <c r="L547" s="17">
        <f t="shared" si="44"/>
        <v>0.90476190476190477</v>
      </c>
      <c r="M547" s="16">
        <f t="shared" ca="1" si="46"/>
        <v>200.00736849816096</v>
      </c>
      <c r="N547" s="18">
        <f t="shared" ca="1" si="45"/>
        <v>0</v>
      </c>
    </row>
    <row r="548" spans="10:14" x14ac:dyDescent="0.25">
      <c r="J548" s="16">
        <f t="shared" ca="1" si="42"/>
        <v>10.525890464038069</v>
      </c>
      <c r="K548" s="16">
        <f t="shared" ca="1" si="43"/>
        <v>32.348065382299374</v>
      </c>
      <c r="L548" s="17">
        <f t="shared" si="44"/>
        <v>0.90476190476190477</v>
      </c>
      <c r="M548" s="16">
        <f t="shared" ca="1" si="46"/>
        <v>308.06436503880354</v>
      </c>
      <c r="N548" s="18">
        <f t="shared" ca="1" si="45"/>
        <v>1</v>
      </c>
    </row>
    <row r="549" spans="10:14" x14ac:dyDescent="0.25">
      <c r="J549" s="16">
        <f t="shared" ca="1" si="42"/>
        <v>8.6343546584583937</v>
      </c>
      <c r="K549" s="16">
        <f t="shared" ca="1" si="43"/>
        <v>21.102878085268088</v>
      </c>
      <c r="L549" s="17">
        <f t="shared" si="44"/>
        <v>0.90476190476190477</v>
      </c>
      <c r="M549" s="16">
        <f t="shared" ca="1" si="46"/>
        <v>164.85642573075557</v>
      </c>
      <c r="N549" s="18">
        <f t="shared" ca="1" si="45"/>
        <v>0</v>
      </c>
    </row>
    <row r="550" spans="10:14" x14ac:dyDescent="0.25">
      <c r="J550" s="16">
        <f t="shared" ca="1" si="42"/>
        <v>7.7558259282900384</v>
      </c>
      <c r="K550" s="16">
        <f t="shared" ca="1" si="43"/>
        <v>37.046882351183839</v>
      </c>
      <c r="L550" s="17">
        <f t="shared" si="44"/>
        <v>0.90476190476190477</v>
      </c>
      <c r="M550" s="16">
        <f t="shared" ca="1" si="46"/>
        <v>259.96448777765818</v>
      </c>
      <c r="N550" s="18">
        <f t="shared" ca="1" si="45"/>
        <v>1</v>
      </c>
    </row>
    <row r="551" spans="10:14" x14ac:dyDescent="0.25">
      <c r="J551" s="16">
        <f t="shared" ca="1" si="42"/>
        <v>7.034152379830279</v>
      </c>
      <c r="K551" s="16">
        <f t="shared" ca="1" si="43"/>
        <v>25.705842233210298</v>
      </c>
      <c r="L551" s="17">
        <f t="shared" si="44"/>
        <v>0.90476190476190477</v>
      </c>
      <c r="M551" s="16">
        <f t="shared" ca="1" si="46"/>
        <v>163.59797214691812</v>
      </c>
      <c r="N551" s="18">
        <f t="shared" ca="1" si="45"/>
        <v>0</v>
      </c>
    </row>
    <row r="552" spans="10:14" x14ac:dyDescent="0.25">
      <c r="J552" s="16">
        <f t="shared" ca="1" si="42"/>
        <v>9.5969951560254927</v>
      </c>
      <c r="K552" s="16">
        <f t="shared" ca="1" si="43"/>
        <v>36.615207089689079</v>
      </c>
      <c r="L552" s="17">
        <f t="shared" si="44"/>
        <v>0.90476190476190477</v>
      </c>
      <c r="M552" s="16">
        <f t="shared" ca="1" si="46"/>
        <v>317.92968268836722</v>
      </c>
      <c r="N552" s="18">
        <f t="shared" ca="1" si="45"/>
        <v>1</v>
      </c>
    </row>
    <row r="553" spans="10:14" x14ac:dyDescent="0.25">
      <c r="J553" s="16">
        <f t="shared" ca="1" si="42"/>
        <v>6.8956773364352619</v>
      </c>
      <c r="K553" s="16">
        <f t="shared" ca="1" si="43"/>
        <v>32.016320744531228</v>
      </c>
      <c r="L553" s="17">
        <f t="shared" si="44"/>
        <v>0.90476190476190477</v>
      </c>
      <c r="M553" s="16">
        <f t="shared" ca="1" si="46"/>
        <v>199.74810141561983</v>
      </c>
      <c r="N553" s="18">
        <f t="shared" ca="1" si="45"/>
        <v>0</v>
      </c>
    </row>
    <row r="554" spans="10:14" x14ac:dyDescent="0.25">
      <c r="J554" s="16">
        <f t="shared" ca="1" si="42"/>
        <v>7.4910618845864114</v>
      </c>
      <c r="K554" s="16">
        <f t="shared" ca="1" si="43"/>
        <v>25.88624224323112</v>
      </c>
      <c r="L554" s="17">
        <f t="shared" si="44"/>
        <v>0.90476190476190477</v>
      </c>
      <c r="M554" s="16">
        <f t="shared" ca="1" si="46"/>
        <v>175.44730521263554</v>
      </c>
      <c r="N554" s="18">
        <f t="shared" ca="1" si="45"/>
        <v>0</v>
      </c>
    </row>
    <row r="555" spans="10:14" x14ac:dyDescent="0.25">
      <c r="J555" s="16">
        <f t="shared" ca="1" si="42"/>
        <v>9.8104218089117925</v>
      </c>
      <c r="K555" s="16">
        <f t="shared" ca="1" si="43"/>
        <v>25.997666169555437</v>
      </c>
      <c r="L555" s="17">
        <f t="shared" si="44"/>
        <v>0.90476190476190477</v>
      </c>
      <c r="M555" s="16">
        <f t="shared" ca="1" si="46"/>
        <v>230.75777867817544</v>
      </c>
      <c r="N555" s="18">
        <f t="shared" ca="1" si="45"/>
        <v>0</v>
      </c>
    </row>
    <row r="556" spans="10:14" x14ac:dyDescent="0.25">
      <c r="J556" s="16">
        <f t="shared" ca="1" si="42"/>
        <v>8.0733940421337174</v>
      </c>
      <c r="K556" s="16">
        <f t="shared" ca="1" si="43"/>
        <v>36.661922320133613</v>
      </c>
      <c r="L556" s="17">
        <f t="shared" si="44"/>
        <v>0.90476190476190477</v>
      </c>
      <c r="M556" s="16">
        <f t="shared" ca="1" si="46"/>
        <v>267.79698854372293</v>
      </c>
      <c r="N556" s="18">
        <f t="shared" ca="1" si="45"/>
        <v>1</v>
      </c>
    </row>
    <row r="557" spans="10:14" x14ac:dyDescent="0.25">
      <c r="J557" s="16">
        <f t="shared" ca="1" si="42"/>
        <v>9.7399990317858105</v>
      </c>
      <c r="K557" s="16">
        <f t="shared" ca="1" si="43"/>
        <v>25.937847953186033</v>
      </c>
      <c r="L557" s="17">
        <f t="shared" si="44"/>
        <v>0.90476190476190477</v>
      </c>
      <c r="M557" s="16">
        <f t="shared" ca="1" si="46"/>
        <v>228.5741745267691</v>
      </c>
      <c r="N557" s="18">
        <f t="shared" ca="1" si="45"/>
        <v>0</v>
      </c>
    </row>
    <row r="558" spans="10:14" x14ac:dyDescent="0.25">
      <c r="J558" s="16">
        <f t="shared" ca="1" si="42"/>
        <v>1.7831852324415818</v>
      </c>
      <c r="K558" s="16">
        <f t="shared" ca="1" si="43"/>
        <v>25.820961109053179</v>
      </c>
      <c r="L558" s="17">
        <f t="shared" si="44"/>
        <v>0.90476190476190477</v>
      </c>
      <c r="M558" s="16">
        <f t="shared" ca="1" si="46"/>
        <v>41.658455914529938</v>
      </c>
      <c r="N558" s="18">
        <f t="shared" ca="1" si="45"/>
        <v>0</v>
      </c>
    </row>
    <row r="559" spans="10:14" x14ac:dyDescent="0.25">
      <c r="J559" s="16">
        <f t="shared" ca="1" si="42"/>
        <v>8.3676171743914747</v>
      </c>
      <c r="K559" s="16">
        <f t="shared" ca="1" si="43"/>
        <v>29.170014057546702</v>
      </c>
      <c r="L559" s="17">
        <f t="shared" si="44"/>
        <v>0.90476190476190477</v>
      </c>
      <c r="M559" s="16">
        <f t="shared" ca="1" si="46"/>
        <v>220.83746197610486</v>
      </c>
      <c r="N559" s="18">
        <f t="shared" ca="1" si="45"/>
        <v>0</v>
      </c>
    </row>
    <row r="560" spans="10:14" x14ac:dyDescent="0.25">
      <c r="J560" s="16">
        <f t="shared" ca="1" si="42"/>
        <v>12.738314722134573</v>
      </c>
      <c r="K560" s="16">
        <f t="shared" ca="1" si="43"/>
        <v>32.115554407408759</v>
      </c>
      <c r="L560" s="17">
        <f t="shared" si="44"/>
        <v>0.90476190476190477</v>
      </c>
      <c r="M560" s="16">
        <f t="shared" ca="1" si="46"/>
        <v>370.13632146813188</v>
      </c>
      <c r="N560" s="18">
        <f t="shared" ca="1" si="45"/>
        <v>1</v>
      </c>
    </row>
    <row r="561" spans="10:14" x14ac:dyDescent="0.25">
      <c r="J561" s="16">
        <f t="shared" ca="1" si="42"/>
        <v>10.91442451105873</v>
      </c>
      <c r="K561" s="16">
        <f t="shared" ca="1" si="43"/>
        <v>29.715805799196218</v>
      </c>
      <c r="L561" s="17">
        <f t="shared" si="44"/>
        <v>0.90476190476190477</v>
      </c>
      <c r="M561" s="16">
        <f t="shared" ca="1" si="46"/>
        <v>293.44226021102662</v>
      </c>
      <c r="N561" s="18">
        <f t="shared" ca="1" si="45"/>
        <v>1</v>
      </c>
    </row>
    <row r="562" spans="10:14" x14ac:dyDescent="0.25">
      <c r="J562" s="16">
        <f t="shared" ca="1" si="42"/>
        <v>4.8306729209419723</v>
      </c>
      <c r="K562" s="16">
        <f t="shared" ca="1" si="43"/>
        <v>35.694882035782371</v>
      </c>
      <c r="L562" s="17">
        <f t="shared" si="44"/>
        <v>0.90476190476190477</v>
      </c>
      <c r="M562" s="16">
        <f t="shared" ca="1" si="46"/>
        <v>156.00836672680796</v>
      </c>
      <c r="N562" s="18">
        <f t="shared" ca="1" si="45"/>
        <v>0</v>
      </c>
    </row>
    <row r="563" spans="10:14" x14ac:dyDescent="0.25">
      <c r="J563" s="16">
        <f t="shared" ca="1" si="42"/>
        <v>7.9523294544713661</v>
      </c>
      <c r="K563" s="16">
        <f t="shared" ca="1" si="43"/>
        <v>45.532458650153785</v>
      </c>
      <c r="L563" s="17">
        <f t="shared" si="44"/>
        <v>0.90476190476190477</v>
      </c>
      <c r="M563" s="16">
        <f t="shared" ca="1" si="46"/>
        <v>327.60443471924918</v>
      </c>
      <c r="N563" s="18">
        <f t="shared" ca="1" si="45"/>
        <v>1</v>
      </c>
    </row>
    <row r="564" spans="10:14" x14ac:dyDescent="0.25">
      <c r="J564" s="16">
        <f t="shared" ca="1" si="42"/>
        <v>6.9746084084731477</v>
      </c>
      <c r="K564" s="16">
        <f t="shared" ca="1" si="43"/>
        <v>25.043144542819299</v>
      </c>
      <c r="L564" s="17">
        <f t="shared" si="44"/>
        <v>0.90476190476190477</v>
      </c>
      <c r="M564" s="16">
        <f t="shared" ca="1" si="46"/>
        <v>158.03125731219819</v>
      </c>
      <c r="N564" s="18">
        <f t="shared" ca="1" si="45"/>
        <v>0</v>
      </c>
    </row>
    <row r="565" spans="10:14" x14ac:dyDescent="0.25">
      <c r="J565" s="16">
        <f t="shared" ca="1" si="42"/>
        <v>7.137094323256977</v>
      </c>
      <c r="K565" s="16">
        <f t="shared" ca="1" si="43"/>
        <v>39.592644585529854</v>
      </c>
      <c r="L565" s="17">
        <f t="shared" si="44"/>
        <v>0.90476190476190477</v>
      </c>
      <c r="M565" s="16">
        <f t="shared" ca="1" si="46"/>
        <v>255.66439711277178</v>
      </c>
      <c r="N565" s="18">
        <f t="shared" ca="1" si="45"/>
        <v>1</v>
      </c>
    </row>
    <row r="566" spans="10:14" x14ac:dyDescent="0.25">
      <c r="J566" s="16">
        <f t="shared" ca="1" si="42"/>
        <v>7.1119068473789691</v>
      </c>
      <c r="K566" s="16">
        <f t="shared" ca="1" si="43"/>
        <v>24.294249250146038</v>
      </c>
      <c r="L566" s="17">
        <f t="shared" si="44"/>
        <v>0.90476190476190477</v>
      </c>
      <c r="M566" s="16">
        <f t="shared" ca="1" si="46"/>
        <v>156.32334829937403</v>
      </c>
      <c r="N566" s="18">
        <f t="shared" ca="1" si="45"/>
        <v>0</v>
      </c>
    </row>
    <row r="567" spans="10:14" x14ac:dyDescent="0.25">
      <c r="J567" s="16">
        <f t="shared" ca="1" si="42"/>
        <v>10.56805624478077</v>
      </c>
      <c r="K567" s="16">
        <f t="shared" ca="1" si="43"/>
        <v>21.87087694038064</v>
      </c>
      <c r="L567" s="17">
        <f t="shared" si="44"/>
        <v>0.90476190476190477</v>
      </c>
      <c r="M567" s="16">
        <f t="shared" ca="1" si="46"/>
        <v>209.12002356875266</v>
      </c>
      <c r="N567" s="18">
        <f t="shared" ca="1" si="45"/>
        <v>0</v>
      </c>
    </row>
    <row r="568" spans="10:14" x14ac:dyDescent="0.25">
      <c r="J568" s="16">
        <f t="shared" ca="1" si="42"/>
        <v>12.034313749955651</v>
      </c>
      <c r="K568" s="16">
        <f t="shared" ca="1" si="43"/>
        <v>25.967346424867412</v>
      </c>
      <c r="L568" s="17">
        <f t="shared" si="44"/>
        <v>0.90476190476190477</v>
      </c>
      <c r="M568" s="16">
        <f t="shared" ca="1" si="46"/>
        <v>282.73736611820135</v>
      </c>
      <c r="N568" s="18">
        <f t="shared" ca="1" si="45"/>
        <v>1</v>
      </c>
    </row>
    <row r="569" spans="10:14" x14ac:dyDescent="0.25">
      <c r="J569" s="16">
        <f t="shared" ca="1" si="42"/>
        <v>11.414635569795669</v>
      </c>
      <c r="K569" s="16">
        <f t="shared" ca="1" si="43"/>
        <v>25.048089339620383</v>
      </c>
      <c r="L569" s="17">
        <f t="shared" si="44"/>
        <v>0.90476190476190477</v>
      </c>
      <c r="M569" s="16">
        <f t="shared" ca="1" si="46"/>
        <v>258.68482948083619</v>
      </c>
      <c r="N569" s="18">
        <f t="shared" ca="1" si="45"/>
        <v>1</v>
      </c>
    </row>
    <row r="570" spans="10:14" x14ac:dyDescent="0.25">
      <c r="J570" s="16">
        <f t="shared" ca="1" si="42"/>
        <v>7.0785315982285208</v>
      </c>
      <c r="K570" s="16">
        <f t="shared" ca="1" si="43"/>
        <v>30.056612134854728</v>
      </c>
      <c r="L570" s="17">
        <f t="shared" si="44"/>
        <v>0.90476190476190477</v>
      </c>
      <c r="M570" s="16">
        <f t="shared" ca="1" si="46"/>
        <v>192.49413790062343</v>
      </c>
      <c r="N570" s="18">
        <f t="shared" ca="1" si="45"/>
        <v>0</v>
      </c>
    </row>
    <row r="571" spans="10:14" x14ac:dyDescent="0.25">
      <c r="J571" s="16">
        <f t="shared" ca="1" si="42"/>
        <v>8.3079021639893114</v>
      </c>
      <c r="K571" s="16">
        <f t="shared" ca="1" si="43"/>
        <v>24.486560842416811</v>
      </c>
      <c r="L571" s="17">
        <f t="shared" si="44"/>
        <v>0.90476190476190477</v>
      </c>
      <c r="M571" s="16">
        <f t="shared" ca="1" si="46"/>
        <v>184.05748021028765</v>
      </c>
      <c r="N571" s="18">
        <f t="shared" ca="1" si="45"/>
        <v>0</v>
      </c>
    </row>
    <row r="572" spans="10:14" x14ac:dyDescent="0.25">
      <c r="J572" s="16">
        <f t="shared" ca="1" si="42"/>
        <v>9.5918964889185681</v>
      </c>
      <c r="K572" s="16">
        <f t="shared" ca="1" si="43"/>
        <v>30.594824773107227</v>
      </c>
      <c r="L572" s="17">
        <f t="shared" si="44"/>
        <v>0.90476190476190477</v>
      </c>
      <c r="M572" s="16">
        <f t="shared" ca="1" si="46"/>
        <v>265.51359305165113</v>
      </c>
      <c r="N572" s="18">
        <f t="shared" ca="1" si="45"/>
        <v>1</v>
      </c>
    </row>
    <row r="573" spans="10:14" x14ac:dyDescent="0.25">
      <c r="J573" s="16">
        <f t="shared" ca="1" si="42"/>
        <v>14.356020988857315</v>
      </c>
      <c r="K573" s="16">
        <f t="shared" ca="1" si="43"/>
        <v>22.023141960594081</v>
      </c>
      <c r="L573" s="17">
        <f t="shared" si="44"/>
        <v>0.90476190476190477</v>
      </c>
      <c r="M573" s="16">
        <f t="shared" ca="1" si="46"/>
        <v>286.05376553859929</v>
      </c>
      <c r="N573" s="18">
        <f t="shared" ca="1" si="45"/>
        <v>1</v>
      </c>
    </row>
    <row r="574" spans="10:14" x14ac:dyDescent="0.25">
      <c r="J574" s="16">
        <f t="shared" ca="1" si="42"/>
        <v>9.0539207640319503</v>
      </c>
      <c r="K574" s="16">
        <f t="shared" ca="1" si="43"/>
        <v>43.825143630341231</v>
      </c>
      <c r="L574" s="17">
        <f t="shared" si="44"/>
        <v>0.90476190476190477</v>
      </c>
      <c r="M574" s="16">
        <f t="shared" ca="1" si="46"/>
        <v>358.99991333938817</v>
      </c>
      <c r="N574" s="18">
        <f t="shared" ca="1" si="45"/>
        <v>1</v>
      </c>
    </row>
    <row r="575" spans="10:14" x14ac:dyDescent="0.25">
      <c r="J575" s="16">
        <f t="shared" ca="1" si="42"/>
        <v>7.2258377292619036</v>
      </c>
      <c r="K575" s="16">
        <f t="shared" ca="1" si="43"/>
        <v>42.92046173170084</v>
      </c>
      <c r="L575" s="17">
        <f t="shared" si="44"/>
        <v>0.90476190476190477</v>
      </c>
      <c r="M575" s="16">
        <f t="shared" ca="1" si="46"/>
        <v>280.59950204890703</v>
      </c>
      <c r="N575" s="18">
        <f t="shared" ca="1" si="45"/>
        <v>1</v>
      </c>
    </row>
    <row r="576" spans="10:14" x14ac:dyDescent="0.25">
      <c r="J576" s="16">
        <f t="shared" ca="1" si="42"/>
        <v>2.0778343461518514</v>
      </c>
      <c r="K576" s="16">
        <f t="shared" ca="1" si="43"/>
        <v>21.52684680885654</v>
      </c>
      <c r="L576" s="17">
        <f t="shared" si="44"/>
        <v>0.90476190476190477</v>
      </c>
      <c r="M576" s="16">
        <f t="shared" ca="1" si="46"/>
        <v>40.469295791049454</v>
      </c>
      <c r="N576" s="18">
        <f t="shared" ca="1" si="45"/>
        <v>0</v>
      </c>
    </row>
    <row r="577" spans="10:14" x14ac:dyDescent="0.25">
      <c r="J577" s="16">
        <f t="shared" ca="1" si="42"/>
        <v>14.786509337600032</v>
      </c>
      <c r="K577" s="16">
        <f t="shared" ca="1" si="43"/>
        <v>32.081876602490055</v>
      </c>
      <c r="L577" s="17">
        <f t="shared" si="44"/>
        <v>0.90476190476190477</v>
      </c>
      <c r="M577" s="16">
        <f t="shared" ca="1" si="46"/>
        <v>429.20001862183676</v>
      </c>
      <c r="N577" s="18">
        <f t="shared" ca="1" si="45"/>
        <v>1</v>
      </c>
    </row>
    <row r="578" spans="10:14" x14ac:dyDescent="0.25">
      <c r="J578" s="16">
        <f t="shared" ca="1" si="42"/>
        <v>5.9081190706817353</v>
      </c>
      <c r="K578" s="16">
        <f t="shared" ca="1" si="43"/>
        <v>35.67175315925207</v>
      </c>
      <c r="L578" s="17">
        <f t="shared" si="44"/>
        <v>0.90476190476190477</v>
      </c>
      <c r="M578" s="16">
        <f t="shared" ca="1" si="46"/>
        <v>190.68125416055921</v>
      </c>
      <c r="N578" s="18">
        <f t="shared" ca="1" si="45"/>
        <v>0</v>
      </c>
    </row>
    <row r="579" spans="10:14" x14ac:dyDescent="0.25">
      <c r="J579" s="16">
        <f t="shared" ca="1" si="42"/>
        <v>1.5966435505976297</v>
      </c>
      <c r="K579" s="16">
        <f t="shared" ca="1" si="43"/>
        <v>21.047750019827443</v>
      </c>
      <c r="L579" s="17">
        <f t="shared" si="44"/>
        <v>0.90476190476190477</v>
      </c>
      <c r="M579" s="16">
        <f t="shared" ca="1" si="46"/>
        <v>30.40520629291542</v>
      </c>
      <c r="N579" s="18">
        <f t="shared" ca="1" si="45"/>
        <v>0</v>
      </c>
    </row>
    <row r="580" spans="10:14" x14ac:dyDescent="0.25">
      <c r="J580" s="16">
        <f t="shared" ref="J580:J643" ca="1" si="47">$D$2*(-LN(1-RAND()))^(1/$D$3)</f>
        <v>6.8762861218324201</v>
      </c>
      <c r="K580" s="16">
        <f t="shared" ref="K580:K643" ca="1" si="48">RAND()*($H$3-$H$2)+$H$2</f>
        <v>26.817747473411323</v>
      </c>
      <c r="L580" s="17">
        <f t="shared" ref="L580:L643" si="49">$D$22</f>
        <v>0.90476190476190477</v>
      </c>
      <c r="M580" s="16">
        <f t="shared" ca="1" si="46"/>
        <v>166.84398050639379</v>
      </c>
      <c r="N580" s="18">
        <f t="shared" ref="N580:N643" ca="1" si="50">IF(M580&gt;$R$2,1,0)</f>
        <v>0</v>
      </c>
    </row>
    <row r="581" spans="10:14" x14ac:dyDescent="0.25">
      <c r="J581" s="16">
        <f t="shared" ca="1" si="47"/>
        <v>8.1136312495592868</v>
      </c>
      <c r="K581" s="16">
        <f t="shared" ca="1" si="48"/>
        <v>39.480369218290214</v>
      </c>
      <c r="L581" s="17">
        <f t="shared" si="49"/>
        <v>0.90476190476190477</v>
      </c>
      <c r="M581" s="16">
        <f t="shared" ca="1" si="46"/>
        <v>289.82161863045252</v>
      </c>
      <c r="N581" s="18">
        <f t="shared" ca="1" si="50"/>
        <v>1</v>
      </c>
    </row>
    <row r="582" spans="10:14" x14ac:dyDescent="0.25">
      <c r="J582" s="16">
        <f t="shared" ca="1" si="47"/>
        <v>12.686603569432807</v>
      </c>
      <c r="K582" s="16">
        <f t="shared" ca="1" si="48"/>
        <v>32.96144882560165</v>
      </c>
      <c r="L582" s="17">
        <f t="shared" si="49"/>
        <v>0.90476190476190477</v>
      </c>
      <c r="M582" s="16">
        <f t="shared" ca="1" si="46"/>
        <v>378.34323105554944</v>
      </c>
      <c r="N582" s="18">
        <f t="shared" ca="1" si="50"/>
        <v>1</v>
      </c>
    </row>
    <row r="583" spans="10:14" x14ac:dyDescent="0.25">
      <c r="J583" s="16">
        <f t="shared" ca="1" si="47"/>
        <v>1.9214430652109307</v>
      </c>
      <c r="K583" s="16">
        <f t="shared" ca="1" si="48"/>
        <v>45.048452790557832</v>
      </c>
      <c r="L583" s="17">
        <f t="shared" si="49"/>
        <v>0.90476190476190477</v>
      </c>
      <c r="M583" s="16">
        <f t="shared" ca="1" si="46"/>
        <v>78.314414621194658</v>
      </c>
      <c r="N583" s="18">
        <f t="shared" ca="1" si="50"/>
        <v>0</v>
      </c>
    </row>
    <row r="584" spans="10:14" x14ac:dyDescent="0.25">
      <c r="J584" s="16">
        <f t="shared" ca="1" si="47"/>
        <v>6.870680896714374</v>
      </c>
      <c r="K584" s="16">
        <f t="shared" ca="1" si="48"/>
        <v>23.302484053880079</v>
      </c>
      <c r="L584" s="17">
        <f t="shared" si="49"/>
        <v>0.90476190476190477</v>
      </c>
      <c r="M584" s="16">
        <f t="shared" ca="1" si="46"/>
        <v>144.85593850784375</v>
      </c>
      <c r="N584" s="18">
        <f t="shared" ca="1" si="50"/>
        <v>0</v>
      </c>
    </row>
    <row r="585" spans="10:14" x14ac:dyDescent="0.25">
      <c r="J585" s="16">
        <f t="shared" ca="1" si="47"/>
        <v>7.1045602903020324</v>
      </c>
      <c r="K585" s="16">
        <f t="shared" ca="1" si="48"/>
        <v>45.917362221931953</v>
      </c>
      <c r="L585" s="17">
        <f t="shared" si="49"/>
        <v>0.90476190476190477</v>
      </c>
      <c r="M585" s="16">
        <f t="shared" ca="1" si="46"/>
        <v>295.15384272712839</v>
      </c>
      <c r="N585" s="18">
        <f t="shared" ca="1" si="50"/>
        <v>1</v>
      </c>
    </row>
    <row r="586" spans="10:14" x14ac:dyDescent="0.25">
      <c r="J586" s="16">
        <f t="shared" ca="1" si="47"/>
        <v>8.2283578910909796</v>
      </c>
      <c r="K586" s="16">
        <f t="shared" ca="1" si="48"/>
        <v>39.352454665516689</v>
      </c>
      <c r="L586" s="17">
        <f t="shared" si="49"/>
        <v>0.90476190476190477</v>
      </c>
      <c r="M586" s="16">
        <f t="shared" ca="1" si="46"/>
        <v>292.96740651120388</v>
      </c>
      <c r="N586" s="18">
        <f t="shared" ca="1" si="50"/>
        <v>1</v>
      </c>
    </row>
    <row r="587" spans="10:14" x14ac:dyDescent="0.25">
      <c r="J587" s="16">
        <f t="shared" ca="1" si="47"/>
        <v>9.9061090322306651</v>
      </c>
      <c r="K587" s="16">
        <f t="shared" ca="1" si="48"/>
        <v>30.79431197501475</v>
      </c>
      <c r="L587" s="17">
        <f t="shared" si="49"/>
        <v>0.90476190476190477</v>
      </c>
      <c r="M587" s="16">
        <f t="shared" ca="1" si="46"/>
        <v>275.99925847349658</v>
      </c>
      <c r="N587" s="18">
        <f t="shared" ca="1" si="50"/>
        <v>1</v>
      </c>
    </row>
    <row r="588" spans="10:14" x14ac:dyDescent="0.25">
      <c r="J588" s="16">
        <f t="shared" ca="1" si="47"/>
        <v>8.2472291276029939</v>
      </c>
      <c r="K588" s="16">
        <f t="shared" ca="1" si="48"/>
        <v>33.89215890271057</v>
      </c>
      <c r="L588" s="17">
        <f t="shared" si="49"/>
        <v>0.90476190476190477</v>
      </c>
      <c r="M588" s="16">
        <f t="shared" ca="1" si="46"/>
        <v>252.89579056647096</v>
      </c>
      <c r="N588" s="18">
        <f t="shared" ca="1" si="50"/>
        <v>1</v>
      </c>
    </row>
    <row r="589" spans="10:14" x14ac:dyDescent="0.25">
      <c r="J589" s="16">
        <f t="shared" ca="1" si="47"/>
        <v>10.84213687666724</v>
      </c>
      <c r="K589" s="16">
        <f t="shared" ca="1" si="48"/>
        <v>43.19313465256505</v>
      </c>
      <c r="L589" s="17">
        <f t="shared" si="49"/>
        <v>0.90476190476190477</v>
      </c>
      <c r="M589" s="16">
        <f t="shared" ca="1" si="46"/>
        <v>423.70531822253116</v>
      </c>
      <c r="N589" s="18">
        <f t="shared" ca="1" si="50"/>
        <v>1</v>
      </c>
    </row>
    <row r="590" spans="10:14" x14ac:dyDescent="0.25">
      <c r="J590" s="16">
        <f t="shared" ca="1" si="47"/>
        <v>14.692884057110616</v>
      </c>
      <c r="K590" s="16">
        <f t="shared" ca="1" si="48"/>
        <v>39.861966134192187</v>
      </c>
      <c r="L590" s="17">
        <f t="shared" si="49"/>
        <v>0.90476190476190477</v>
      </c>
      <c r="M590" s="16">
        <f t="shared" ca="1" si="46"/>
        <v>529.907508917379</v>
      </c>
      <c r="N590" s="18">
        <f t="shared" ca="1" si="50"/>
        <v>1</v>
      </c>
    </row>
    <row r="591" spans="10:14" x14ac:dyDescent="0.25">
      <c r="J591" s="16">
        <f t="shared" ca="1" si="47"/>
        <v>9.0053098780609666</v>
      </c>
      <c r="K591" s="16">
        <f t="shared" ca="1" si="48"/>
        <v>43.581174830943596</v>
      </c>
      <c r="L591" s="17">
        <f t="shared" si="49"/>
        <v>0.90476190476190477</v>
      </c>
      <c r="M591" s="16">
        <f t="shared" ca="1" si="46"/>
        <v>355.08465237377942</v>
      </c>
      <c r="N591" s="18">
        <f t="shared" ca="1" si="50"/>
        <v>1</v>
      </c>
    </row>
    <row r="592" spans="10:14" x14ac:dyDescent="0.25">
      <c r="J592" s="16">
        <f t="shared" ca="1" si="47"/>
        <v>14.46354505285988</v>
      </c>
      <c r="K592" s="16">
        <f t="shared" ca="1" si="48"/>
        <v>40.994549942106062</v>
      </c>
      <c r="L592" s="17">
        <f t="shared" si="49"/>
        <v>0.90476190476190477</v>
      </c>
      <c r="M592" s="16">
        <f t="shared" ca="1" si="46"/>
        <v>536.45732762752107</v>
      </c>
      <c r="N592" s="18">
        <f t="shared" ca="1" si="50"/>
        <v>1</v>
      </c>
    </row>
    <row r="593" spans="10:14" x14ac:dyDescent="0.25">
      <c r="J593" s="16">
        <f t="shared" ca="1" si="47"/>
        <v>5.2815183863915767</v>
      </c>
      <c r="K593" s="16">
        <f t="shared" ca="1" si="48"/>
        <v>22.166094881766099</v>
      </c>
      <c r="L593" s="17">
        <f t="shared" si="49"/>
        <v>0.90476190476190477</v>
      </c>
      <c r="M593" s="16">
        <f t="shared" ca="1" si="46"/>
        <v>105.92105313230522</v>
      </c>
      <c r="N593" s="18">
        <f t="shared" ca="1" si="50"/>
        <v>0</v>
      </c>
    </row>
    <row r="594" spans="10:14" x14ac:dyDescent="0.25">
      <c r="J594" s="16">
        <f t="shared" ca="1" si="47"/>
        <v>7.5954517893122269</v>
      </c>
      <c r="K594" s="16">
        <f t="shared" ca="1" si="48"/>
        <v>31.325643640296313</v>
      </c>
      <c r="L594" s="17">
        <f t="shared" si="49"/>
        <v>0.90476190476190477</v>
      </c>
      <c r="M594" s="16">
        <f t="shared" ca="1" si="46"/>
        <v>215.27218594008909</v>
      </c>
      <c r="N594" s="18">
        <f t="shared" ca="1" si="50"/>
        <v>0</v>
      </c>
    </row>
    <row r="595" spans="10:14" x14ac:dyDescent="0.25">
      <c r="J595" s="16">
        <f t="shared" ca="1" si="47"/>
        <v>14.725574388156851</v>
      </c>
      <c r="K595" s="16">
        <f t="shared" ca="1" si="48"/>
        <v>33.402775714244143</v>
      </c>
      <c r="L595" s="17">
        <f t="shared" si="49"/>
        <v>0.90476190476190477</v>
      </c>
      <c r="M595" s="16">
        <f t="shared" ref="M595:M658" ca="1" si="51">J595*K595*L595</f>
        <v>445.02981487949535</v>
      </c>
      <c r="N595" s="18">
        <f t="shared" ca="1" si="50"/>
        <v>1</v>
      </c>
    </row>
    <row r="596" spans="10:14" x14ac:dyDescent="0.25">
      <c r="J596" s="16">
        <f t="shared" ca="1" si="47"/>
        <v>10.145591154590612</v>
      </c>
      <c r="K596" s="16">
        <f t="shared" ca="1" si="48"/>
        <v>45.259070828101045</v>
      </c>
      <c r="L596" s="17">
        <f t="shared" si="49"/>
        <v>0.90476190476190477</v>
      </c>
      <c r="M596" s="16">
        <f t="shared" ca="1" si="51"/>
        <v>415.4485973577556</v>
      </c>
      <c r="N596" s="18">
        <f t="shared" ca="1" si="50"/>
        <v>1</v>
      </c>
    </row>
    <row r="597" spans="10:14" x14ac:dyDescent="0.25">
      <c r="J597" s="16">
        <f t="shared" ca="1" si="47"/>
        <v>7.2853645996471403</v>
      </c>
      <c r="K597" s="16">
        <f t="shared" ca="1" si="48"/>
        <v>39.214500074284373</v>
      </c>
      <c r="L597" s="17">
        <f t="shared" si="49"/>
        <v>0.90476190476190477</v>
      </c>
      <c r="M597" s="16">
        <f t="shared" ca="1" si="51"/>
        <v>258.48317533557042</v>
      </c>
      <c r="N597" s="18">
        <f t="shared" ca="1" si="50"/>
        <v>1</v>
      </c>
    </row>
    <row r="598" spans="10:14" x14ac:dyDescent="0.25">
      <c r="J598" s="16">
        <f t="shared" ca="1" si="47"/>
        <v>11.024456542500323</v>
      </c>
      <c r="K598" s="16">
        <f t="shared" ca="1" si="48"/>
        <v>44.974666919106568</v>
      </c>
      <c r="L598" s="17">
        <f t="shared" si="49"/>
        <v>0.90476190476190477</v>
      </c>
      <c r="M598" s="16">
        <f t="shared" ca="1" si="51"/>
        <v>448.60018849043945</v>
      </c>
      <c r="N598" s="18">
        <f t="shared" ca="1" si="50"/>
        <v>1</v>
      </c>
    </row>
    <row r="599" spans="10:14" x14ac:dyDescent="0.25">
      <c r="J599" s="16">
        <f t="shared" ca="1" si="47"/>
        <v>8.0550480286128732</v>
      </c>
      <c r="K599" s="16">
        <f t="shared" ca="1" si="48"/>
        <v>39.945740963721285</v>
      </c>
      <c r="L599" s="17">
        <f t="shared" si="49"/>
        <v>0.90476190476190477</v>
      </c>
      <c r="M599" s="16">
        <f t="shared" ca="1" si="51"/>
        <v>291.12058942975091</v>
      </c>
      <c r="N599" s="18">
        <f t="shared" ca="1" si="50"/>
        <v>1</v>
      </c>
    </row>
    <row r="600" spans="10:14" x14ac:dyDescent="0.25">
      <c r="J600" s="16">
        <f t="shared" ca="1" si="47"/>
        <v>6.3197208291189684</v>
      </c>
      <c r="K600" s="16">
        <f t="shared" ca="1" si="48"/>
        <v>24.217879132200963</v>
      </c>
      <c r="L600" s="17">
        <f t="shared" si="49"/>
        <v>0.90476190476190477</v>
      </c>
      <c r="M600" s="16">
        <f t="shared" ca="1" si="51"/>
        <v>138.47402231372689</v>
      </c>
      <c r="N600" s="18">
        <f t="shared" ca="1" si="50"/>
        <v>0</v>
      </c>
    </row>
    <row r="601" spans="10:14" x14ac:dyDescent="0.25">
      <c r="J601" s="16">
        <f t="shared" ca="1" si="47"/>
        <v>8.9789959906788539</v>
      </c>
      <c r="K601" s="16">
        <f t="shared" ca="1" si="48"/>
        <v>29.314206379003636</v>
      </c>
      <c r="L601" s="17">
        <f t="shared" si="49"/>
        <v>0.90476190476190477</v>
      </c>
      <c r="M601" s="16">
        <f t="shared" ca="1" si="51"/>
        <v>238.14431854252936</v>
      </c>
      <c r="N601" s="18">
        <f t="shared" ca="1" si="50"/>
        <v>1</v>
      </c>
    </row>
    <row r="602" spans="10:14" x14ac:dyDescent="0.25">
      <c r="J602" s="16">
        <f t="shared" ca="1" si="47"/>
        <v>9.3720820622024128</v>
      </c>
      <c r="K602" s="16">
        <f t="shared" ca="1" si="48"/>
        <v>38.090740373359701</v>
      </c>
      <c r="L602" s="17">
        <f t="shared" si="49"/>
        <v>0.90476190476190477</v>
      </c>
      <c r="M602" s="16">
        <f t="shared" ca="1" si="51"/>
        <v>322.99054034258575</v>
      </c>
      <c r="N602" s="18">
        <f t="shared" ca="1" si="50"/>
        <v>1</v>
      </c>
    </row>
    <row r="603" spans="10:14" x14ac:dyDescent="0.25">
      <c r="J603" s="16">
        <f t="shared" ca="1" si="47"/>
        <v>8.4589843204014041</v>
      </c>
      <c r="K603" s="16">
        <f t="shared" ca="1" si="48"/>
        <v>27.939100896460616</v>
      </c>
      <c r="L603" s="17">
        <f t="shared" si="49"/>
        <v>0.90476190476190477</v>
      </c>
      <c r="M603" s="16">
        <f t="shared" ca="1" si="51"/>
        <v>213.82818627505668</v>
      </c>
      <c r="N603" s="18">
        <f t="shared" ca="1" si="50"/>
        <v>0</v>
      </c>
    </row>
    <row r="604" spans="10:14" x14ac:dyDescent="0.25">
      <c r="J604" s="16">
        <f t="shared" ca="1" si="47"/>
        <v>13.945763115803443</v>
      </c>
      <c r="K604" s="16">
        <f t="shared" ca="1" si="48"/>
        <v>33.35520384774361</v>
      </c>
      <c r="L604" s="17">
        <f t="shared" si="49"/>
        <v>0.90476190476190477</v>
      </c>
      <c r="M604" s="16">
        <f t="shared" ca="1" si="51"/>
        <v>420.86245996473286</v>
      </c>
      <c r="N604" s="18">
        <f t="shared" ca="1" si="50"/>
        <v>1</v>
      </c>
    </row>
    <row r="605" spans="10:14" x14ac:dyDescent="0.25">
      <c r="J605" s="16">
        <f t="shared" ca="1" si="47"/>
        <v>9.0496962214522121</v>
      </c>
      <c r="K605" s="16">
        <f t="shared" ca="1" si="48"/>
        <v>31.856328474127089</v>
      </c>
      <c r="L605" s="17">
        <f t="shared" si="49"/>
        <v>0.90476190476190477</v>
      </c>
      <c r="M605" s="16">
        <f t="shared" ca="1" si="51"/>
        <v>260.83389585768197</v>
      </c>
      <c r="N605" s="18">
        <f t="shared" ca="1" si="50"/>
        <v>1</v>
      </c>
    </row>
    <row r="606" spans="10:14" x14ac:dyDescent="0.25">
      <c r="J606" s="16">
        <f t="shared" ca="1" si="47"/>
        <v>5.5692371188020928</v>
      </c>
      <c r="K606" s="16">
        <f t="shared" ca="1" si="48"/>
        <v>33.635114823873394</v>
      </c>
      <c r="L606" s="17">
        <f t="shared" si="49"/>
        <v>0.90476190476190477</v>
      </c>
      <c r="M606" s="16">
        <f t="shared" ca="1" si="51"/>
        <v>169.48174616540183</v>
      </c>
      <c r="N606" s="18">
        <f t="shared" ca="1" si="50"/>
        <v>0</v>
      </c>
    </row>
    <row r="607" spans="10:14" x14ac:dyDescent="0.25">
      <c r="J607" s="16">
        <f t="shared" ca="1" si="47"/>
        <v>5.6624826260198775</v>
      </c>
      <c r="K607" s="16">
        <f t="shared" ca="1" si="48"/>
        <v>37.541119223485069</v>
      </c>
      <c r="L607" s="17">
        <f t="shared" si="49"/>
        <v>0.90476190476190477</v>
      </c>
      <c r="M607" s="16">
        <f t="shared" ca="1" si="51"/>
        <v>192.33060818677026</v>
      </c>
      <c r="N607" s="18">
        <f t="shared" ca="1" si="50"/>
        <v>0</v>
      </c>
    </row>
    <row r="608" spans="10:14" x14ac:dyDescent="0.25">
      <c r="J608" s="16">
        <f t="shared" ca="1" si="47"/>
        <v>5.809672535333549</v>
      </c>
      <c r="K608" s="16">
        <f t="shared" ca="1" si="48"/>
        <v>30.38919259293759</v>
      </c>
      <c r="L608" s="17">
        <f t="shared" si="49"/>
        <v>0.90476190476190477</v>
      </c>
      <c r="M608" s="16">
        <f t="shared" ca="1" si="51"/>
        <v>159.73685209451779</v>
      </c>
      <c r="N608" s="18">
        <f t="shared" ca="1" si="50"/>
        <v>0</v>
      </c>
    </row>
    <row r="609" spans="10:14" x14ac:dyDescent="0.25">
      <c r="J609" s="16">
        <f t="shared" ca="1" si="47"/>
        <v>10.08308098973635</v>
      </c>
      <c r="K609" s="16">
        <f t="shared" ca="1" si="48"/>
        <v>28.893121426016517</v>
      </c>
      <c r="L609" s="17">
        <f t="shared" si="49"/>
        <v>0.90476190476190477</v>
      </c>
      <c r="M609" s="16">
        <f t="shared" ca="1" si="51"/>
        <v>263.58580877673393</v>
      </c>
      <c r="N609" s="18">
        <f t="shared" ca="1" si="50"/>
        <v>1</v>
      </c>
    </row>
    <row r="610" spans="10:14" x14ac:dyDescent="0.25">
      <c r="J610" s="16">
        <f t="shared" ca="1" si="47"/>
        <v>8.0565564888720669</v>
      </c>
      <c r="K610" s="16">
        <f t="shared" ca="1" si="48"/>
        <v>27.066203794552656</v>
      </c>
      <c r="L610" s="17">
        <f t="shared" si="49"/>
        <v>0.90476190476190477</v>
      </c>
      <c r="M610" s="16">
        <f t="shared" ca="1" si="51"/>
        <v>197.29274268536201</v>
      </c>
      <c r="N610" s="18">
        <f t="shared" ca="1" si="50"/>
        <v>0</v>
      </c>
    </row>
    <row r="611" spans="10:14" x14ac:dyDescent="0.25">
      <c r="J611" s="16">
        <f t="shared" ca="1" si="47"/>
        <v>12.854726119570225</v>
      </c>
      <c r="K611" s="16">
        <f t="shared" ca="1" si="48"/>
        <v>40.747530567131093</v>
      </c>
      <c r="L611" s="17">
        <f t="shared" si="49"/>
        <v>0.90476190476190477</v>
      </c>
      <c r="M611" s="16">
        <f t="shared" ca="1" si="51"/>
        <v>473.91278877602088</v>
      </c>
      <c r="N611" s="18">
        <f t="shared" ca="1" si="50"/>
        <v>1</v>
      </c>
    </row>
    <row r="612" spans="10:14" x14ac:dyDescent="0.25">
      <c r="J612" s="16">
        <f t="shared" ca="1" si="47"/>
        <v>4.2182787252209142</v>
      </c>
      <c r="K612" s="16">
        <f t="shared" ca="1" si="48"/>
        <v>44.461046131580844</v>
      </c>
      <c r="L612" s="17">
        <f t="shared" si="49"/>
        <v>0.90476190476190477</v>
      </c>
      <c r="M612" s="16">
        <f t="shared" ca="1" si="51"/>
        <v>169.68726737906422</v>
      </c>
      <c r="N612" s="18">
        <f t="shared" ca="1" si="50"/>
        <v>0</v>
      </c>
    </row>
    <row r="613" spans="10:14" x14ac:dyDescent="0.25">
      <c r="J613" s="16">
        <f t="shared" ca="1" si="47"/>
        <v>2.3508265427198283</v>
      </c>
      <c r="K613" s="16">
        <f t="shared" ca="1" si="48"/>
        <v>40.072055511953806</v>
      </c>
      <c r="L613" s="17">
        <f t="shared" si="49"/>
        <v>0.90476190476190477</v>
      </c>
      <c r="M613" s="16">
        <f t="shared" ca="1" si="51"/>
        <v>85.230789650382135</v>
      </c>
      <c r="N613" s="18">
        <f t="shared" ca="1" si="50"/>
        <v>0</v>
      </c>
    </row>
    <row r="614" spans="10:14" x14ac:dyDescent="0.25">
      <c r="J614" s="16">
        <f t="shared" ca="1" si="47"/>
        <v>12.778536571928003</v>
      </c>
      <c r="K614" s="16">
        <f t="shared" ca="1" si="48"/>
        <v>33.766630495201632</v>
      </c>
      <c r="L614" s="17">
        <f t="shared" si="49"/>
        <v>0.90476190476190477</v>
      </c>
      <c r="M614" s="16">
        <f t="shared" ca="1" si="51"/>
        <v>390.39401577050262</v>
      </c>
      <c r="N614" s="18">
        <f t="shared" ca="1" si="50"/>
        <v>1</v>
      </c>
    </row>
    <row r="615" spans="10:14" x14ac:dyDescent="0.25">
      <c r="J615" s="16">
        <f t="shared" ca="1" si="47"/>
        <v>10.205833766057491</v>
      </c>
      <c r="K615" s="16">
        <f t="shared" ca="1" si="48"/>
        <v>36.671717049109887</v>
      </c>
      <c r="L615" s="17">
        <f t="shared" si="49"/>
        <v>0.90476190476190477</v>
      </c>
      <c r="M615" s="16">
        <f t="shared" ca="1" si="51"/>
        <v>338.62111972681549</v>
      </c>
      <c r="N615" s="18">
        <f t="shared" ca="1" si="50"/>
        <v>1</v>
      </c>
    </row>
    <row r="616" spans="10:14" x14ac:dyDescent="0.25">
      <c r="J616" s="16">
        <f t="shared" ca="1" si="47"/>
        <v>5.1703743971968974</v>
      </c>
      <c r="K616" s="16">
        <f t="shared" ca="1" si="48"/>
        <v>28.145907569234584</v>
      </c>
      <c r="L616" s="17">
        <f t="shared" si="49"/>
        <v>0.90476190476190477</v>
      </c>
      <c r="M616" s="16">
        <f t="shared" ca="1" si="51"/>
        <v>131.66536751214173</v>
      </c>
      <c r="N616" s="18">
        <f t="shared" ca="1" si="50"/>
        <v>0</v>
      </c>
    </row>
    <row r="617" spans="10:14" x14ac:dyDescent="0.25">
      <c r="J617" s="16">
        <f t="shared" ca="1" si="47"/>
        <v>11.42306653389069</v>
      </c>
      <c r="K617" s="16">
        <f t="shared" ca="1" si="48"/>
        <v>44.117410995245891</v>
      </c>
      <c r="L617" s="17">
        <f t="shared" si="49"/>
        <v>0.90476190476190477</v>
      </c>
      <c r="M617" s="16">
        <f t="shared" ca="1" si="51"/>
        <v>455.96030004439029</v>
      </c>
      <c r="N617" s="18">
        <f t="shared" ca="1" si="50"/>
        <v>1</v>
      </c>
    </row>
    <row r="618" spans="10:14" x14ac:dyDescent="0.25">
      <c r="J618" s="16">
        <f t="shared" ca="1" si="47"/>
        <v>7.0360442639247713</v>
      </c>
      <c r="K618" s="16">
        <f t="shared" ca="1" si="48"/>
        <v>31.757886363183889</v>
      </c>
      <c r="L618" s="17">
        <f t="shared" si="49"/>
        <v>0.90476190476190477</v>
      </c>
      <c r="M618" s="16">
        <f t="shared" ca="1" si="51"/>
        <v>202.16895187719237</v>
      </c>
      <c r="N618" s="18">
        <f t="shared" ca="1" si="50"/>
        <v>0</v>
      </c>
    </row>
    <row r="619" spans="10:14" x14ac:dyDescent="0.25">
      <c r="J619" s="16">
        <f t="shared" ca="1" si="47"/>
        <v>2.3103431645011954</v>
      </c>
      <c r="K619" s="16">
        <f t="shared" ca="1" si="48"/>
        <v>43.051850704166213</v>
      </c>
      <c r="L619" s="17">
        <f t="shared" si="49"/>
        <v>0.90476190476190477</v>
      </c>
      <c r="M619" s="16">
        <f t="shared" ca="1" si="51"/>
        <v>89.991734803639588</v>
      </c>
      <c r="N619" s="18">
        <f t="shared" ca="1" si="50"/>
        <v>0</v>
      </c>
    </row>
    <row r="620" spans="10:14" x14ac:dyDescent="0.25">
      <c r="J620" s="16">
        <f t="shared" ca="1" si="47"/>
        <v>6.7708584438453991</v>
      </c>
      <c r="K620" s="16">
        <f t="shared" ca="1" si="48"/>
        <v>39.312290141834012</v>
      </c>
      <c r="L620" s="17">
        <f t="shared" si="49"/>
        <v>0.90476190476190477</v>
      </c>
      <c r="M620" s="16">
        <f t="shared" ca="1" si="51"/>
        <v>240.82767054385735</v>
      </c>
      <c r="N620" s="18">
        <f t="shared" ca="1" si="50"/>
        <v>1</v>
      </c>
    </row>
    <row r="621" spans="10:14" x14ac:dyDescent="0.25">
      <c r="J621" s="16">
        <f t="shared" ca="1" si="47"/>
        <v>7.4542887623310712</v>
      </c>
      <c r="K621" s="16">
        <f t="shared" ca="1" si="48"/>
        <v>41.013414856169348</v>
      </c>
      <c r="L621" s="17">
        <f t="shared" si="49"/>
        <v>0.90476190476190477</v>
      </c>
      <c r="M621" s="16">
        <f t="shared" ca="1" si="51"/>
        <v>276.60909104172106</v>
      </c>
      <c r="N621" s="18">
        <f t="shared" ca="1" si="50"/>
        <v>1</v>
      </c>
    </row>
    <row r="622" spans="10:14" x14ac:dyDescent="0.25">
      <c r="J622" s="16">
        <f t="shared" ca="1" si="47"/>
        <v>7.8782279013889509</v>
      </c>
      <c r="K622" s="16">
        <f t="shared" ca="1" si="48"/>
        <v>41.006824607138824</v>
      </c>
      <c r="L622" s="17">
        <f t="shared" si="49"/>
        <v>0.90476190476190477</v>
      </c>
      <c r="M622" s="16">
        <f t="shared" ca="1" si="51"/>
        <v>292.29338502757895</v>
      </c>
      <c r="N622" s="18">
        <f t="shared" ca="1" si="50"/>
        <v>1</v>
      </c>
    </row>
    <row r="623" spans="10:14" x14ac:dyDescent="0.25">
      <c r="J623" s="16">
        <f t="shared" ca="1" si="47"/>
        <v>8.1853148586423004</v>
      </c>
      <c r="K623" s="16">
        <f t="shared" ca="1" si="48"/>
        <v>37.024799652596677</v>
      </c>
      <c r="L623" s="17">
        <f t="shared" si="49"/>
        <v>0.90476190476190477</v>
      </c>
      <c r="M623" s="16">
        <f t="shared" ca="1" si="51"/>
        <v>274.19681961706777</v>
      </c>
      <c r="N623" s="18">
        <f t="shared" ca="1" si="50"/>
        <v>1</v>
      </c>
    </row>
    <row r="624" spans="10:14" x14ac:dyDescent="0.25">
      <c r="J624" s="16">
        <f t="shared" ca="1" si="47"/>
        <v>6.2646060799723946</v>
      </c>
      <c r="K624" s="16">
        <f t="shared" ca="1" si="48"/>
        <v>21.678823974644171</v>
      </c>
      <c r="L624" s="17">
        <f t="shared" si="49"/>
        <v>0.90476190476190477</v>
      </c>
      <c r="M624" s="16">
        <f t="shared" ca="1" si="51"/>
        <v>122.87507414694937</v>
      </c>
      <c r="N624" s="18">
        <f t="shared" ca="1" si="50"/>
        <v>0</v>
      </c>
    </row>
    <row r="625" spans="10:14" x14ac:dyDescent="0.25">
      <c r="J625" s="16">
        <f t="shared" ca="1" si="47"/>
        <v>5.5581036761237597</v>
      </c>
      <c r="K625" s="16">
        <f t="shared" ca="1" si="48"/>
        <v>36.57320817110822</v>
      </c>
      <c r="L625" s="17">
        <f t="shared" si="49"/>
        <v>0.90476190476190477</v>
      </c>
      <c r="M625" s="16">
        <f t="shared" ca="1" si="51"/>
        <v>183.91790347076412</v>
      </c>
      <c r="N625" s="18">
        <f t="shared" ca="1" si="50"/>
        <v>0</v>
      </c>
    </row>
    <row r="626" spans="10:14" x14ac:dyDescent="0.25">
      <c r="J626" s="16">
        <f t="shared" ca="1" si="47"/>
        <v>8.4706916783709456</v>
      </c>
      <c r="K626" s="16">
        <f t="shared" ca="1" si="48"/>
        <v>22.589351634358557</v>
      </c>
      <c r="L626" s="17">
        <f t="shared" si="49"/>
        <v>0.90476190476190477</v>
      </c>
      <c r="M626" s="16">
        <f t="shared" ca="1" si="51"/>
        <v>173.12386787000796</v>
      </c>
      <c r="N626" s="18">
        <f t="shared" ca="1" si="50"/>
        <v>0</v>
      </c>
    </row>
    <row r="627" spans="10:14" x14ac:dyDescent="0.25">
      <c r="J627" s="16">
        <f t="shared" ca="1" si="47"/>
        <v>7.542968183168627</v>
      </c>
      <c r="K627" s="16">
        <f t="shared" ca="1" si="48"/>
        <v>30.825751539387539</v>
      </c>
      <c r="L627" s="17">
        <f t="shared" si="49"/>
        <v>0.90476190476190477</v>
      </c>
      <c r="M627" s="16">
        <f t="shared" ca="1" si="51"/>
        <v>210.3731237425414</v>
      </c>
      <c r="N627" s="18">
        <f t="shared" ca="1" si="50"/>
        <v>0</v>
      </c>
    </row>
    <row r="628" spans="10:14" x14ac:dyDescent="0.25">
      <c r="J628" s="16">
        <f t="shared" ca="1" si="47"/>
        <v>4.051029116269282</v>
      </c>
      <c r="K628" s="16">
        <f t="shared" ca="1" si="48"/>
        <v>35.467014147192543</v>
      </c>
      <c r="L628" s="17">
        <f t="shared" si="49"/>
        <v>0.90476190476190477</v>
      </c>
      <c r="M628" s="16">
        <f t="shared" ca="1" si="51"/>
        <v>129.99429678908663</v>
      </c>
      <c r="N628" s="18">
        <f t="shared" ca="1" si="50"/>
        <v>0</v>
      </c>
    </row>
    <row r="629" spans="10:14" x14ac:dyDescent="0.25">
      <c r="J629" s="16">
        <f t="shared" ca="1" si="47"/>
        <v>7.8605029423932455</v>
      </c>
      <c r="K629" s="16">
        <f t="shared" ca="1" si="48"/>
        <v>40.547533578612146</v>
      </c>
      <c r="L629" s="17">
        <f t="shared" si="49"/>
        <v>0.90476190476190477</v>
      </c>
      <c r="M629" s="16">
        <f t="shared" ca="1" si="51"/>
        <v>288.36933966799643</v>
      </c>
      <c r="N629" s="18">
        <f t="shared" ca="1" si="50"/>
        <v>1</v>
      </c>
    </row>
    <row r="630" spans="10:14" x14ac:dyDescent="0.25">
      <c r="J630" s="16">
        <f t="shared" ca="1" si="47"/>
        <v>5.1446937210837964</v>
      </c>
      <c r="K630" s="16">
        <f t="shared" ca="1" si="48"/>
        <v>20.496012968205491</v>
      </c>
      <c r="L630" s="17">
        <f t="shared" si="49"/>
        <v>0.90476190476190477</v>
      </c>
      <c r="M630" s="16">
        <f t="shared" ca="1" si="51"/>
        <v>95.403260727180864</v>
      </c>
      <c r="N630" s="18">
        <f t="shared" ca="1" si="50"/>
        <v>0</v>
      </c>
    </row>
    <row r="631" spans="10:14" x14ac:dyDescent="0.25">
      <c r="J631" s="16">
        <f t="shared" ca="1" si="47"/>
        <v>14.452426463753417</v>
      </c>
      <c r="K631" s="16">
        <f t="shared" ca="1" si="48"/>
        <v>34.459710055049904</v>
      </c>
      <c r="L631" s="17">
        <f t="shared" si="49"/>
        <v>0.90476190476190477</v>
      </c>
      <c r="M631" s="16">
        <f t="shared" ca="1" si="51"/>
        <v>450.59533738688509</v>
      </c>
      <c r="N631" s="18">
        <f t="shared" ca="1" si="50"/>
        <v>1</v>
      </c>
    </row>
    <row r="632" spans="10:14" x14ac:dyDescent="0.25">
      <c r="J632" s="16">
        <f t="shared" ca="1" si="47"/>
        <v>9.6206647944703647</v>
      </c>
      <c r="K632" s="16">
        <f t="shared" ca="1" si="48"/>
        <v>45.2628827062778</v>
      </c>
      <c r="L632" s="17">
        <f t="shared" si="49"/>
        <v>0.90476190476190477</v>
      </c>
      <c r="M632" s="16">
        <f t="shared" ca="1" si="51"/>
        <v>393.98673432485896</v>
      </c>
      <c r="N632" s="18">
        <f t="shared" ca="1" si="50"/>
        <v>1</v>
      </c>
    </row>
    <row r="633" spans="10:14" x14ac:dyDescent="0.25">
      <c r="J633" s="16">
        <f t="shared" ca="1" si="47"/>
        <v>6.0191798977435864</v>
      </c>
      <c r="K633" s="16">
        <f t="shared" ca="1" si="48"/>
        <v>35.959726991846082</v>
      </c>
      <c r="L633" s="17">
        <f t="shared" si="49"/>
        <v>0.90476190476190477</v>
      </c>
      <c r="M633" s="16">
        <f t="shared" ca="1" si="51"/>
        <v>195.83396432931812</v>
      </c>
      <c r="N633" s="18">
        <f t="shared" ca="1" si="50"/>
        <v>0</v>
      </c>
    </row>
    <row r="634" spans="10:14" x14ac:dyDescent="0.25">
      <c r="J634" s="16">
        <f t="shared" ca="1" si="47"/>
        <v>7.266470808475586</v>
      </c>
      <c r="K634" s="16">
        <f t="shared" ca="1" si="48"/>
        <v>28.706081514044513</v>
      </c>
      <c r="L634" s="17">
        <f t="shared" si="49"/>
        <v>0.90476190476190477</v>
      </c>
      <c r="M634" s="16">
        <f t="shared" ca="1" si="51"/>
        <v>188.72600779061796</v>
      </c>
      <c r="N634" s="18">
        <f t="shared" ca="1" si="50"/>
        <v>0</v>
      </c>
    </row>
    <row r="635" spans="10:14" x14ac:dyDescent="0.25">
      <c r="J635" s="16">
        <f t="shared" ca="1" si="47"/>
        <v>10.306066950253802</v>
      </c>
      <c r="K635" s="16">
        <f t="shared" ca="1" si="48"/>
        <v>37.614798450377975</v>
      </c>
      <c r="L635" s="17">
        <f t="shared" si="49"/>
        <v>0.90476190476190477</v>
      </c>
      <c r="M635" s="16">
        <f t="shared" ca="1" si="51"/>
        <v>350.74057104038428</v>
      </c>
      <c r="N635" s="18">
        <f t="shared" ca="1" si="50"/>
        <v>1</v>
      </c>
    </row>
    <row r="636" spans="10:14" x14ac:dyDescent="0.25">
      <c r="J636" s="16">
        <f t="shared" ca="1" si="47"/>
        <v>8.6176138491551502</v>
      </c>
      <c r="K636" s="16">
        <f t="shared" ca="1" si="48"/>
        <v>22.518225474580902</v>
      </c>
      <c r="L636" s="17">
        <f t="shared" si="49"/>
        <v>0.90476190476190477</v>
      </c>
      <c r="M636" s="16">
        <f t="shared" ca="1" si="51"/>
        <v>175.57209821213272</v>
      </c>
      <c r="N636" s="18">
        <f t="shared" ca="1" si="50"/>
        <v>0</v>
      </c>
    </row>
    <row r="637" spans="10:14" x14ac:dyDescent="0.25">
      <c r="J637" s="16">
        <f t="shared" ca="1" si="47"/>
        <v>15.126850490393553</v>
      </c>
      <c r="K637" s="16">
        <f t="shared" ca="1" si="48"/>
        <v>36.719836054632516</v>
      </c>
      <c r="L637" s="17">
        <f t="shared" si="49"/>
        <v>0.90476190476190477</v>
      </c>
      <c r="M637" s="16">
        <f t="shared" ca="1" si="51"/>
        <v>502.55494907493267</v>
      </c>
      <c r="N637" s="18">
        <f t="shared" ca="1" si="50"/>
        <v>1</v>
      </c>
    </row>
    <row r="638" spans="10:14" x14ac:dyDescent="0.25">
      <c r="J638" s="16">
        <f t="shared" ca="1" si="47"/>
        <v>7.2304799792201431</v>
      </c>
      <c r="K638" s="16">
        <f t="shared" ca="1" si="48"/>
        <v>29.625456339470354</v>
      </c>
      <c r="L638" s="17">
        <f t="shared" si="49"/>
        <v>0.90476190476190477</v>
      </c>
      <c r="M638" s="16">
        <f t="shared" ca="1" si="51"/>
        <v>193.80567189610557</v>
      </c>
      <c r="N638" s="18">
        <f t="shared" ca="1" si="50"/>
        <v>0</v>
      </c>
    </row>
    <row r="639" spans="10:14" x14ac:dyDescent="0.25">
      <c r="J639" s="16">
        <f t="shared" ca="1" si="47"/>
        <v>12.520970577069608</v>
      </c>
      <c r="K639" s="16">
        <f t="shared" ca="1" si="48"/>
        <v>29.543709080382644</v>
      </c>
      <c r="L639" s="17">
        <f t="shared" si="49"/>
        <v>0.90476190476190477</v>
      </c>
      <c r="M639" s="16">
        <f t="shared" ca="1" si="51"/>
        <v>334.68582526316811</v>
      </c>
      <c r="N639" s="18">
        <f t="shared" ca="1" si="50"/>
        <v>1</v>
      </c>
    </row>
    <row r="640" spans="10:14" x14ac:dyDescent="0.25">
      <c r="J640" s="16">
        <f t="shared" ca="1" si="47"/>
        <v>6.1551834699031645</v>
      </c>
      <c r="K640" s="16">
        <f t="shared" ca="1" si="48"/>
        <v>34.28370386541728</v>
      </c>
      <c r="L640" s="17">
        <f t="shared" si="49"/>
        <v>0.90476190476190477</v>
      </c>
      <c r="M640" s="16">
        <f t="shared" ca="1" si="51"/>
        <v>190.92510757476009</v>
      </c>
      <c r="N640" s="18">
        <f t="shared" ca="1" si="50"/>
        <v>0</v>
      </c>
    </row>
    <row r="641" spans="10:14" x14ac:dyDescent="0.25">
      <c r="J641" s="16">
        <f t="shared" ca="1" si="47"/>
        <v>7.8875382711293147</v>
      </c>
      <c r="K641" s="16">
        <f t="shared" ca="1" si="48"/>
        <v>21.833050320304618</v>
      </c>
      <c r="L641" s="17">
        <f t="shared" si="49"/>
        <v>0.90476190476190477</v>
      </c>
      <c r="M641" s="16">
        <f t="shared" ca="1" si="51"/>
        <v>155.80816093147627</v>
      </c>
      <c r="N641" s="18">
        <f t="shared" ca="1" si="50"/>
        <v>0</v>
      </c>
    </row>
    <row r="642" spans="10:14" x14ac:dyDescent="0.25">
      <c r="J642" s="16">
        <f t="shared" ca="1" si="47"/>
        <v>11.458006484916286</v>
      </c>
      <c r="K642" s="16">
        <f t="shared" ca="1" si="48"/>
        <v>31.491288697412525</v>
      </c>
      <c r="L642" s="17">
        <f t="shared" si="49"/>
        <v>0.90476190476190477</v>
      </c>
      <c r="M642" s="16">
        <f t="shared" ca="1" si="51"/>
        <v>326.46287676919758</v>
      </c>
      <c r="N642" s="18">
        <f t="shared" ca="1" si="50"/>
        <v>1</v>
      </c>
    </row>
    <row r="643" spans="10:14" x14ac:dyDescent="0.25">
      <c r="J643" s="16">
        <f t="shared" ca="1" si="47"/>
        <v>11.223816159722354</v>
      </c>
      <c r="K643" s="16">
        <f t="shared" ca="1" si="48"/>
        <v>21.698757353995283</v>
      </c>
      <c r="L643" s="17">
        <f t="shared" si="49"/>
        <v>0.90476190476190477</v>
      </c>
      <c r="M643" s="16">
        <f t="shared" ca="1" si="51"/>
        <v>220.3483050132221</v>
      </c>
      <c r="N643" s="18">
        <f t="shared" ca="1" si="50"/>
        <v>0</v>
      </c>
    </row>
    <row r="644" spans="10:14" x14ac:dyDescent="0.25">
      <c r="J644" s="16">
        <f t="shared" ref="J644:J707" ca="1" si="52">$D$2*(-LN(1-RAND()))^(1/$D$3)</f>
        <v>7.3213316487707303</v>
      </c>
      <c r="K644" s="16">
        <f t="shared" ref="K644:K707" ca="1" si="53">RAND()*($H$3-$H$2)+$H$2</f>
        <v>41.22372137832825</v>
      </c>
      <c r="L644" s="17">
        <f t="shared" ref="L644:L707" si="54">$D$22</f>
        <v>0.90476190476190477</v>
      </c>
      <c r="M644" s="16">
        <f t="shared" ca="1" si="51"/>
        <v>273.06848495895053</v>
      </c>
      <c r="N644" s="18">
        <f t="shared" ref="N644:N707" ca="1" si="55">IF(M644&gt;$R$2,1,0)</f>
        <v>1</v>
      </c>
    </row>
    <row r="645" spans="10:14" x14ac:dyDescent="0.25">
      <c r="J645" s="16">
        <f t="shared" ca="1" si="52"/>
        <v>9.942718018447513</v>
      </c>
      <c r="K645" s="16">
        <f t="shared" ca="1" si="53"/>
        <v>25.535847989953087</v>
      </c>
      <c r="L645" s="17">
        <f t="shared" si="54"/>
        <v>0.90476190476190477</v>
      </c>
      <c r="M645" s="16">
        <f t="shared" ca="1" si="51"/>
        <v>229.71518964737248</v>
      </c>
      <c r="N645" s="18">
        <f t="shared" ca="1" si="55"/>
        <v>0</v>
      </c>
    </row>
    <row r="646" spans="10:14" x14ac:dyDescent="0.25">
      <c r="J646" s="16">
        <f t="shared" ca="1" si="52"/>
        <v>8.2402813329272977</v>
      </c>
      <c r="K646" s="16">
        <f t="shared" ca="1" si="53"/>
        <v>31.001636615327435</v>
      </c>
      <c r="L646" s="17">
        <f t="shared" si="54"/>
        <v>0.90476190476190477</v>
      </c>
      <c r="M646" s="16">
        <f t="shared" ca="1" si="51"/>
        <v>231.13247344467064</v>
      </c>
      <c r="N646" s="18">
        <f t="shared" ca="1" si="55"/>
        <v>0</v>
      </c>
    </row>
    <row r="647" spans="10:14" x14ac:dyDescent="0.25">
      <c r="J647" s="16">
        <f t="shared" ca="1" si="52"/>
        <v>10.273635621218412</v>
      </c>
      <c r="K647" s="16">
        <f t="shared" ca="1" si="53"/>
        <v>29.557741552280824</v>
      </c>
      <c r="L647" s="17">
        <f t="shared" si="54"/>
        <v>0.90476190476190477</v>
      </c>
      <c r="M647" s="16">
        <f t="shared" ca="1" si="51"/>
        <v>274.74494587577703</v>
      </c>
      <c r="N647" s="18">
        <f t="shared" ca="1" si="55"/>
        <v>1</v>
      </c>
    </row>
    <row r="648" spans="10:14" x14ac:dyDescent="0.25">
      <c r="J648" s="16">
        <f t="shared" ca="1" si="52"/>
        <v>10.040984370924983</v>
      </c>
      <c r="K648" s="16">
        <f t="shared" ca="1" si="53"/>
        <v>37.862107718618461</v>
      </c>
      <c r="L648" s="17">
        <f t="shared" si="54"/>
        <v>0.90476190476190477</v>
      </c>
      <c r="M648" s="16">
        <f t="shared" ca="1" si="51"/>
        <v>343.96589548598081</v>
      </c>
      <c r="N648" s="18">
        <f t="shared" ca="1" si="55"/>
        <v>1</v>
      </c>
    </row>
    <row r="649" spans="10:14" x14ac:dyDescent="0.25">
      <c r="J649" s="16">
        <f t="shared" ca="1" si="52"/>
        <v>4.1389572184955288</v>
      </c>
      <c r="K649" s="16">
        <f t="shared" ca="1" si="53"/>
        <v>44.039365156919473</v>
      </c>
      <c r="L649" s="17">
        <f t="shared" si="54"/>
        <v>0.90476190476190477</v>
      </c>
      <c r="M649" s="16">
        <f t="shared" ca="1" si="51"/>
        <v>164.91732942712642</v>
      </c>
      <c r="N649" s="18">
        <f t="shared" ca="1" si="55"/>
        <v>0</v>
      </c>
    </row>
    <row r="650" spans="10:14" x14ac:dyDescent="0.25">
      <c r="J650" s="16">
        <f t="shared" ca="1" si="52"/>
        <v>9.7211220221503982</v>
      </c>
      <c r="K650" s="16">
        <f t="shared" ca="1" si="53"/>
        <v>32.602800740001101</v>
      </c>
      <c r="L650" s="17">
        <f t="shared" si="54"/>
        <v>0.90476190476190477</v>
      </c>
      <c r="M650" s="16">
        <f t="shared" ca="1" si="51"/>
        <v>286.75144194717689</v>
      </c>
      <c r="N650" s="18">
        <f t="shared" ca="1" si="55"/>
        <v>1</v>
      </c>
    </row>
    <row r="651" spans="10:14" x14ac:dyDescent="0.25">
      <c r="J651" s="16">
        <f t="shared" ca="1" si="52"/>
        <v>5.9695100305730238</v>
      </c>
      <c r="K651" s="16">
        <f t="shared" ca="1" si="53"/>
        <v>22.555692567234715</v>
      </c>
      <c r="L651" s="17">
        <f t="shared" si="54"/>
        <v>0.90476190476190477</v>
      </c>
      <c r="M651" s="16">
        <f t="shared" ca="1" si="51"/>
        <v>121.82296321456913</v>
      </c>
      <c r="N651" s="18">
        <f t="shared" ca="1" si="55"/>
        <v>0</v>
      </c>
    </row>
    <row r="652" spans="10:14" x14ac:dyDescent="0.25">
      <c r="J652" s="16">
        <f t="shared" ca="1" si="52"/>
        <v>7.6181178130585296</v>
      </c>
      <c r="K652" s="16">
        <f t="shared" ca="1" si="53"/>
        <v>44.3690375355444</v>
      </c>
      <c r="L652" s="17">
        <f t="shared" si="54"/>
        <v>0.90476190476190477</v>
      </c>
      <c r="M652" s="16">
        <f t="shared" ca="1" si="51"/>
        <v>305.81726422657493</v>
      </c>
      <c r="N652" s="18">
        <f t="shared" ca="1" si="55"/>
        <v>1</v>
      </c>
    </row>
    <row r="653" spans="10:14" x14ac:dyDescent="0.25">
      <c r="J653" s="16">
        <f t="shared" ca="1" si="52"/>
        <v>12.274071301808791</v>
      </c>
      <c r="K653" s="16">
        <f t="shared" ca="1" si="53"/>
        <v>33.630836416140141</v>
      </c>
      <c r="L653" s="17">
        <f t="shared" si="54"/>
        <v>0.90476190476190477</v>
      </c>
      <c r="M653" s="16">
        <f t="shared" ca="1" si="51"/>
        <v>373.47420943391722</v>
      </c>
      <c r="N653" s="18">
        <f t="shared" ca="1" si="55"/>
        <v>1</v>
      </c>
    </row>
    <row r="654" spans="10:14" x14ac:dyDescent="0.25">
      <c r="J654" s="16">
        <f t="shared" ca="1" si="52"/>
        <v>3.4885944877103912</v>
      </c>
      <c r="K654" s="16">
        <f t="shared" ca="1" si="53"/>
        <v>37.609122106154189</v>
      </c>
      <c r="L654" s="17">
        <f t="shared" si="54"/>
        <v>0.90476190476190477</v>
      </c>
      <c r="M654" s="16">
        <f t="shared" ca="1" si="51"/>
        <v>118.70745453695115</v>
      </c>
      <c r="N654" s="18">
        <f t="shared" ca="1" si="55"/>
        <v>0</v>
      </c>
    </row>
    <row r="655" spans="10:14" x14ac:dyDescent="0.25">
      <c r="J655" s="16">
        <f t="shared" ca="1" si="52"/>
        <v>13.419706474697985</v>
      </c>
      <c r="K655" s="16">
        <f t="shared" ca="1" si="53"/>
        <v>28.546527702073</v>
      </c>
      <c r="L655" s="17">
        <f t="shared" si="54"/>
        <v>0.90476190476190477</v>
      </c>
      <c r="M655" s="16">
        <f t="shared" ca="1" si="51"/>
        <v>346.6016395256874</v>
      </c>
      <c r="N655" s="18">
        <f t="shared" ca="1" si="55"/>
        <v>1</v>
      </c>
    </row>
    <row r="656" spans="10:14" x14ac:dyDescent="0.25">
      <c r="J656" s="16">
        <f t="shared" ca="1" si="52"/>
        <v>9.5939533484084016</v>
      </c>
      <c r="K656" s="16">
        <f t="shared" ca="1" si="53"/>
        <v>23.705304939083767</v>
      </c>
      <c r="L656" s="17">
        <f t="shared" si="54"/>
        <v>0.90476190476190477</v>
      </c>
      <c r="M656" s="16">
        <f t="shared" ca="1" si="51"/>
        <v>205.76781924818732</v>
      </c>
      <c r="N656" s="18">
        <f t="shared" ca="1" si="55"/>
        <v>0</v>
      </c>
    </row>
    <row r="657" spans="10:14" x14ac:dyDescent="0.25">
      <c r="J657" s="16">
        <f t="shared" ca="1" si="52"/>
        <v>8.7320323216580196</v>
      </c>
      <c r="K657" s="16">
        <f t="shared" ca="1" si="53"/>
        <v>45.269955802373588</v>
      </c>
      <c r="L657" s="17">
        <f t="shared" si="54"/>
        <v>0.90476190476190477</v>
      </c>
      <c r="M657" s="16">
        <f t="shared" ca="1" si="51"/>
        <v>357.65122038384607</v>
      </c>
      <c r="N657" s="18">
        <f t="shared" ca="1" si="55"/>
        <v>1</v>
      </c>
    </row>
    <row r="658" spans="10:14" x14ac:dyDescent="0.25">
      <c r="J658" s="16">
        <f t="shared" ca="1" si="52"/>
        <v>5.1614203134282066</v>
      </c>
      <c r="K658" s="16">
        <f t="shared" ca="1" si="53"/>
        <v>22.102392944533726</v>
      </c>
      <c r="L658" s="17">
        <f t="shared" si="54"/>
        <v>0.90476190476190477</v>
      </c>
      <c r="M658" s="16">
        <f t="shared" ca="1" si="51"/>
        <v>103.2150027841183</v>
      </c>
      <c r="N658" s="18">
        <f t="shared" ca="1" si="55"/>
        <v>0</v>
      </c>
    </row>
    <row r="659" spans="10:14" x14ac:dyDescent="0.25">
      <c r="J659" s="16">
        <f t="shared" ca="1" si="52"/>
        <v>9.2095643243529111</v>
      </c>
      <c r="K659" s="16">
        <f t="shared" ca="1" si="53"/>
        <v>24.506196790275496</v>
      </c>
      <c r="L659" s="17">
        <f t="shared" si="54"/>
        <v>0.90476190476190477</v>
      </c>
      <c r="M659" s="16">
        <f t="shared" ref="M659:M722" ca="1" si="56">J659*K659*L659</f>
        <v>204.19697704859846</v>
      </c>
      <c r="N659" s="18">
        <f t="shared" ca="1" si="55"/>
        <v>0</v>
      </c>
    </row>
    <row r="660" spans="10:14" x14ac:dyDescent="0.25">
      <c r="J660" s="16">
        <f t="shared" ca="1" si="52"/>
        <v>9.1622402111573216</v>
      </c>
      <c r="K660" s="16">
        <f t="shared" ca="1" si="53"/>
        <v>34.943307306175221</v>
      </c>
      <c r="L660" s="17">
        <f t="shared" si="54"/>
        <v>0.90476190476190477</v>
      </c>
      <c r="M660" s="16">
        <f t="shared" ca="1" si="56"/>
        <v>289.66764432942165</v>
      </c>
      <c r="N660" s="18">
        <f t="shared" ca="1" si="55"/>
        <v>1</v>
      </c>
    </row>
    <row r="661" spans="10:14" x14ac:dyDescent="0.25">
      <c r="J661" s="16">
        <f t="shared" ca="1" si="52"/>
        <v>11.663348526919725</v>
      </c>
      <c r="K661" s="16">
        <f t="shared" ca="1" si="53"/>
        <v>30.965744349710953</v>
      </c>
      <c r="L661" s="17">
        <f t="shared" si="54"/>
        <v>0.90476190476190477</v>
      </c>
      <c r="M661" s="16">
        <f t="shared" ca="1" si="56"/>
        <v>326.76767172272883</v>
      </c>
      <c r="N661" s="18">
        <f t="shared" ca="1" si="55"/>
        <v>1</v>
      </c>
    </row>
    <row r="662" spans="10:14" x14ac:dyDescent="0.25">
      <c r="J662" s="16">
        <f t="shared" ca="1" si="52"/>
        <v>3.6323888049939463</v>
      </c>
      <c r="K662" s="16">
        <f t="shared" ca="1" si="53"/>
        <v>36.287762653749965</v>
      </c>
      <c r="L662" s="17">
        <f t="shared" si="54"/>
        <v>0.90476190476190477</v>
      </c>
      <c r="M662" s="16">
        <f t="shared" ca="1" si="56"/>
        <v>119.25780921968652</v>
      </c>
      <c r="N662" s="18">
        <f t="shared" ca="1" si="55"/>
        <v>0</v>
      </c>
    </row>
    <row r="663" spans="10:14" x14ac:dyDescent="0.25">
      <c r="J663" s="16">
        <f t="shared" ca="1" si="52"/>
        <v>4.8083638153569792</v>
      </c>
      <c r="K663" s="16">
        <f t="shared" ca="1" si="53"/>
        <v>40.341155983293405</v>
      </c>
      <c r="L663" s="17">
        <f t="shared" si="54"/>
        <v>0.90476190476190477</v>
      </c>
      <c r="M663" s="16">
        <f t="shared" ca="1" si="56"/>
        <v>175.50114949024069</v>
      </c>
      <c r="N663" s="18">
        <f t="shared" ca="1" si="55"/>
        <v>0</v>
      </c>
    </row>
    <row r="664" spans="10:14" x14ac:dyDescent="0.25">
      <c r="J664" s="16">
        <f t="shared" ca="1" si="52"/>
        <v>10.399016034153131</v>
      </c>
      <c r="K664" s="16">
        <f t="shared" ca="1" si="53"/>
        <v>31.465589355986353</v>
      </c>
      <c r="L664" s="17">
        <f t="shared" si="54"/>
        <v>0.90476190476190477</v>
      </c>
      <c r="M664" s="16">
        <f t="shared" ca="1" si="56"/>
        <v>296.04819983345828</v>
      </c>
      <c r="N664" s="18">
        <f t="shared" ca="1" si="55"/>
        <v>1</v>
      </c>
    </row>
    <row r="665" spans="10:14" x14ac:dyDescent="0.25">
      <c r="J665" s="16">
        <f t="shared" ca="1" si="52"/>
        <v>9.2418648265068732</v>
      </c>
      <c r="K665" s="16">
        <f t="shared" ca="1" si="53"/>
        <v>43.446968193948464</v>
      </c>
      <c r="L665" s="17">
        <f t="shared" si="54"/>
        <v>0.90476190476190477</v>
      </c>
      <c r="M665" s="16">
        <f t="shared" ca="1" si="56"/>
        <v>363.28995886810895</v>
      </c>
      <c r="N665" s="18">
        <f t="shared" ca="1" si="55"/>
        <v>1</v>
      </c>
    </row>
    <row r="666" spans="10:14" x14ac:dyDescent="0.25">
      <c r="J666" s="16">
        <f t="shared" ca="1" si="52"/>
        <v>10.901723715561273</v>
      </c>
      <c r="K666" s="16">
        <f t="shared" ca="1" si="53"/>
        <v>44.095284683926081</v>
      </c>
      <c r="L666" s="17">
        <f t="shared" si="54"/>
        <v>0.90476190476190477</v>
      </c>
      <c r="M666" s="16">
        <f t="shared" ca="1" si="56"/>
        <v>434.93226689907004</v>
      </c>
      <c r="N666" s="18">
        <f t="shared" ca="1" si="55"/>
        <v>1</v>
      </c>
    </row>
    <row r="667" spans="10:14" x14ac:dyDescent="0.25">
      <c r="J667" s="16">
        <f t="shared" ca="1" si="52"/>
        <v>6.0215761914691388</v>
      </c>
      <c r="K667" s="16">
        <f t="shared" ca="1" si="53"/>
        <v>26.814016705936744</v>
      </c>
      <c r="L667" s="17">
        <f t="shared" si="54"/>
        <v>0.90476190476190477</v>
      </c>
      <c r="M667" s="16">
        <f t="shared" ca="1" si="56"/>
        <v>146.08524987087449</v>
      </c>
      <c r="N667" s="18">
        <f t="shared" ca="1" si="55"/>
        <v>0</v>
      </c>
    </row>
    <row r="668" spans="10:14" x14ac:dyDescent="0.25">
      <c r="J668" s="16">
        <f t="shared" ca="1" si="52"/>
        <v>6.3162149944415047</v>
      </c>
      <c r="K668" s="16">
        <f t="shared" ca="1" si="53"/>
        <v>38.12684428943885</v>
      </c>
      <c r="L668" s="17">
        <f t="shared" si="54"/>
        <v>0.90476190476190477</v>
      </c>
      <c r="M668" s="16">
        <f t="shared" ca="1" si="56"/>
        <v>217.88236029724345</v>
      </c>
      <c r="N668" s="18">
        <f t="shared" ca="1" si="55"/>
        <v>0</v>
      </c>
    </row>
    <row r="669" spans="10:14" x14ac:dyDescent="0.25">
      <c r="J669" s="16">
        <f t="shared" ca="1" si="52"/>
        <v>6.7320085266362355</v>
      </c>
      <c r="K669" s="16">
        <f t="shared" ca="1" si="53"/>
        <v>21.037939340986444</v>
      </c>
      <c r="L669" s="17">
        <f t="shared" si="54"/>
        <v>0.90476190476190477</v>
      </c>
      <c r="M669" s="16">
        <f t="shared" ca="1" si="56"/>
        <v>128.13924540481699</v>
      </c>
      <c r="N669" s="18">
        <f t="shared" ca="1" si="55"/>
        <v>0</v>
      </c>
    </row>
    <row r="670" spans="10:14" x14ac:dyDescent="0.25">
      <c r="J670" s="16">
        <f t="shared" ca="1" si="52"/>
        <v>10.190137586744537</v>
      </c>
      <c r="K670" s="16">
        <f t="shared" ca="1" si="53"/>
        <v>27.952642668258061</v>
      </c>
      <c r="L670" s="17">
        <f t="shared" si="54"/>
        <v>0.90476190476190477</v>
      </c>
      <c r="M670" s="16">
        <f t="shared" ca="1" si="56"/>
        <v>257.71353425478361</v>
      </c>
      <c r="N670" s="18">
        <f t="shared" ca="1" si="55"/>
        <v>1</v>
      </c>
    </row>
    <row r="671" spans="10:14" x14ac:dyDescent="0.25">
      <c r="J671" s="16">
        <f t="shared" ca="1" si="52"/>
        <v>6.6054985931173666</v>
      </c>
      <c r="K671" s="16">
        <f t="shared" ca="1" si="53"/>
        <v>30.047366315497772</v>
      </c>
      <c r="L671" s="17">
        <f t="shared" si="54"/>
        <v>0.90476190476190477</v>
      </c>
      <c r="M671" s="16">
        <f t="shared" ca="1" si="56"/>
        <v>179.57518488353099</v>
      </c>
      <c r="N671" s="18">
        <f t="shared" ca="1" si="55"/>
        <v>0</v>
      </c>
    </row>
    <row r="672" spans="10:14" x14ac:dyDescent="0.25">
      <c r="J672" s="16">
        <f t="shared" ca="1" si="52"/>
        <v>5.9845778923738111</v>
      </c>
      <c r="K672" s="16">
        <f t="shared" ca="1" si="53"/>
        <v>38.110939723472313</v>
      </c>
      <c r="L672" s="17">
        <f t="shared" si="54"/>
        <v>0.90476190476190477</v>
      </c>
      <c r="M672" s="16">
        <f t="shared" ca="1" si="56"/>
        <v>206.35618377176107</v>
      </c>
      <c r="N672" s="18">
        <f t="shared" ca="1" si="55"/>
        <v>0</v>
      </c>
    </row>
    <row r="673" spans="10:14" x14ac:dyDescent="0.25">
      <c r="J673" s="16">
        <f t="shared" ca="1" si="52"/>
        <v>13.202701358771654</v>
      </c>
      <c r="K673" s="16">
        <f t="shared" ca="1" si="53"/>
        <v>44.396143633680822</v>
      </c>
      <c r="L673" s="17">
        <f t="shared" si="54"/>
        <v>0.90476190476190477</v>
      </c>
      <c r="M673" s="16">
        <f t="shared" ca="1" si="56"/>
        <v>530.32530912646507</v>
      </c>
      <c r="N673" s="18">
        <f t="shared" ca="1" si="55"/>
        <v>1</v>
      </c>
    </row>
    <row r="674" spans="10:14" x14ac:dyDescent="0.25">
      <c r="J674" s="16">
        <f t="shared" ca="1" si="52"/>
        <v>11.648415696448499</v>
      </c>
      <c r="K674" s="16">
        <f t="shared" ca="1" si="53"/>
        <v>35.807852854083876</v>
      </c>
      <c r="L674" s="17">
        <f t="shared" si="54"/>
        <v>0.90476190476190477</v>
      </c>
      <c r="M674" s="16">
        <f t="shared" ca="1" si="56"/>
        <v>377.38049283766418</v>
      </c>
      <c r="N674" s="18">
        <f t="shared" ca="1" si="55"/>
        <v>1</v>
      </c>
    </row>
    <row r="675" spans="10:14" x14ac:dyDescent="0.25">
      <c r="J675" s="16">
        <f t="shared" ca="1" si="52"/>
        <v>13.529135227093523</v>
      </c>
      <c r="K675" s="16">
        <f t="shared" ca="1" si="53"/>
        <v>44.866797629504774</v>
      </c>
      <c r="L675" s="17">
        <f t="shared" si="54"/>
        <v>0.90476190476190477</v>
      </c>
      <c r="M675" s="16">
        <f t="shared" ca="1" si="56"/>
        <v>549.19859401847498</v>
      </c>
      <c r="N675" s="18">
        <f t="shared" ca="1" si="55"/>
        <v>1</v>
      </c>
    </row>
    <row r="676" spans="10:14" x14ac:dyDescent="0.25">
      <c r="J676" s="16">
        <f t="shared" ca="1" si="52"/>
        <v>12.837592622421093</v>
      </c>
      <c r="K676" s="16">
        <f t="shared" ca="1" si="53"/>
        <v>34.634783641576838</v>
      </c>
      <c r="L676" s="17">
        <f t="shared" si="54"/>
        <v>0.90476190476190477</v>
      </c>
      <c r="M676" s="16">
        <f t="shared" ca="1" si="56"/>
        <v>402.2817912461378</v>
      </c>
      <c r="N676" s="18">
        <f t="shared" ca="1" si="55"/>
        <v>1</v>
      </c>
    </row>
    <row r="677" spans="10:14" x14ac:dyDescent="0.25">
      <c r="J677" s="16">
        <f t="shared" ca="1" si="52"/>
        <v>2.079873895805997</v>
      </c>
      <c r="K677" s="16">
        <f t="shared" ca="1" si="53"/>
        <v>31.500998702407465</v>
      </c>
      <c r="L677" s="17">
        <f t="shared" si="54"/>
        <v>0.90476190476190477</v>
      </c>
      <c r="M677" s="16">
        <f t="shared" ca="1" si="56"/>
        <v>59.278285379341028</v>
      </c>
      <c r="N677" s="18">
        <f t="shared" ca="1" si="55"/>
        <v>0</v>
      </c>
    </row>
    <row r="678" spans="10:14" x14ac:dyDescent="0.25">
      <c r="J678" s="16">
        <f t="shared" ca="1" si="52"/>
        <v>3.0678006146462291</v>
      </c>
      <c r="K678" s="16">
        <f t="shared" ca="1" si="53"/>
        <v>34.585007732225719</v>
      </c>
      <c r="L678" s="17">
        <f t="shared" si="54"/>
        <v>0.90476190476190477</v>
      </c>
      <c r="M678" s="16">
        <f t="shared" ca="1" si="56"/>
        <v>95.995154837660294</v>
      </c>
      <c r="N678" s="18">
        <f t="shared" ca="1" si="55"/>
        <v>0</v>
      </c>
    </row>
    <row r="679" spans="10:14" x14ac:dyDescent="0.25">
      <c r="J679" s="16">
        <f t="shared" ca="1" si="52"/>
        <v>9.3232069074854049</v>
      </c>
      <c r="K679" s="16">
        <f t="shared" ca="1" si="53"/>
        <v>39.70791771979799</v>
      </c>
      <c r="L679" s="17">
        <f t="shared" si="54"/>
        <v>0.90476190476190477</v>
      </c>
      <c r="M679" s="16">
        <f t="shared" ca="1" si="56"/>
        <v>334.94750107497958</v>
      </c>
      <c r="N679" s="18">
        <f t="shared" ca="1" si="55"/>
        <v>1</v>
      </c>
    </row>
    <row r="680" spans="10:14" x14ac:dyDescent="0.25">
      <c r="J680" s="16">
        <f t="shared" ca="1" si="52"/>
        <v>7.4931354745275254</v>
      </c>
      <c r="K680" s="16">
        <f t="shared" ca="1" si="53"/>
        <v>45.154650775963731</v>
      </c>
      <c r="L680" s="17">
        <f t="shared" si="54"/>
        <v>0.90476190476190477</v>
      </c>
      <c r="M680" s="16">
        <f t="shared" ca="1" si="56"/>
        <v>306.12611408648758</v>
      </c>
      <c r="N680" s="18">
        <f t="shared" ca="1" si="55"/>
        <v>1</v>
      </c>
    </row>
    <row r="681" spans="10:14" x14ac:dyDescent="0.25">
      <c r="J681" s="16">
        <f t="shared" ca="1" si="52"/>
        <v>9.9465425334477793</v>
      </c>
      <c r="K681" s="16">
        <f t="shared" ca="1" si="53"/>
        <v>24.035097434257914</v>
      </c>
      <c r="L681" s="17">
        <f t="shared" si="54"/>
        <v>0.90476190476190477</v>
      </c>
      <c r="M681" s="16">
        <f t="shared" ca="1" si="56"/>
        <v>216.29791712298811</v>
      </c>
      <c r="N681" s="18">
        <f t="shared" ca="1" si="55"/>
        <v>0</v>
      </c>
    </row>
    <row r="682" spans="10:14" x14ac:dyDescent="0.25">
      <c r="J682" s="16">
        <f t="shared" ca="1" si="52"/>
        <v>5.6412634635187171</v>
      </c>
      <c r="K682" s="16">
        <f t="shared" ca="1" si="53"/>
        <v>39.037927471125705</v>
      </c>
      <c r="L682" s="17">
        <f t="shared" si="54"/>
        <v>0.90476190476190477</v>
      </c>
      <c r="M682" s="16">
        <f t="shared" ca="1" si="56"/>
        <v>199.24959260727366</v>
      </c>
      <c r="N682" s="18">
        <f t="shared" ca="1" si="55"/>
        <v>0</v>
      </c>
    </row>
    <row r="683" spans="10:14" x14ac:dyDescent="0.25">
      <c r="J683" s="16">
        <f t="shared" ca="1" si="52"/>
        <v>7.857228849203409</v>
      </c>
      <c r="K683" s="16">
        <f t="shared" ca="1" si="53"/>
        <v>43.129767641407732</v>
      </c>
      <c r="L683" s="17">
        <f t="shared" si="54"/>
        <v>0.90476190476190477</v>
      </c>
      <c r="M683" s="16">
        <f t="shared" ca="1" si="56"/>
        <v>306.60612556469817</v>
      </c>
      <c r="N683" s="18">
        <f t="shared" ca="1" si="55"/>
        <v>1</v>
      </c>
    </row>
    <row r="684" spans="10:14" x14ac:dyDescent="0.25">
      <c r="J684" s="16">
        <f t="shared" ca="1" si="52"/>
        <v>10.746519156172569</v>
      </c>
      <c r="K684" s="16">
        <f t="shared" ca="1" si="53"/>
        <v>30.467057444102231</v>
      </c>
      <c r="L684" s="17">
        <f t="shared" si="54"/>
        <v>0.90476190476190477</v>
      </c>
      <c r="M684" s="16">
        <f t="shared" ca="1" si="56"/>
        <v>296.23245298332569</v>
      </c>
      <c r="N684" s="18">
        <f t="shared" ca="1" si="55"/>
        <v>1</v>
      </c>
    </row>
    <row r="685" spans="10:14" x14ac:dyDescent="0.25">
      <c r="J685" s="16">
        <f t="shared" ca="1" si="52"/>
        <v>8.0840488409653712</v>
      </c>
      <c r="K685" s="16">
        <f t="shared" ca="1" si="53"/>
        <v>36.326577364971463</v>
      </c>
      <c r="L685" s="17">
        <f t="shared" si="54"/>
        <v>0.90476190476190477</v>
      </c>
      <c r="M685" s="16">
        <f t="shared" ca="1" si="56"/>
        <v>265.69765177272342</v>
      </c>
      <c r="N685" s="18">
        <f t="shared" ca="1" si="55"/>
        <v>1</v>
      </c>
    </row>
    <row r="686" spans="10:14" x14ac:dyDescent="0.25">
      <c r="J686" s="16">
        <f t="shared" ca="1" si="52"/>
        <v>8.8787409293352333</v>
      </c>
      <c r="K686" s="16">
        <f t="shared" ca="1" si="53"/>
        <v>37.356153505913483</v>
      </c>
      <c r="L686" s="17">
        <f t="shared" si="54"/>
        <v>0.90476190476190477</v>
      </c>
      <c r="M686" s="16">
        <f t="shared" ca="1" si="56"/>
        <v>300.08745584829501</v>
      </c>
      <c r="N686" s="18">
        <f t="shared" ca="1" si="55"/>
        <v>1</v>
      </c>
    </row>
    <row r="687" spans="10:14" x14ac:dyDescent="0.25">
      <c r="J687" s="16">
        <f t="shared" ca="1" si="52"/>
        <v>6.8263296986373998</v>
      </c>
      <c r="K687" s="16">
        <f t="shared" ca="1" si="53"/>
        <v>41.943368133265196</v>
      </c>
      <c r="L687" s="17">
        <f t="shared" si="54"/>
        <v>0.90476190476190477</v>
      </c>
      <c r="M687" s="16">
        <f t="shared" ca="1" si="56"/>
        <v>259.05075863956216</v>
      </c>
      <c r="N687" s="18">
        <f t="shared" ca="1" si="55"/>
        <v>1</v>
      </c>
    </row>
    <row r="688" spans="10:14" x14ac:dyDescent="0.25">
      <c r="J688" s="16">
        <f t="shared" ca="1" si="52"/>
        <v>2.2969569803504566</v>
      </c>
      <c r="K688" s="16">
        <f t="shared" ca="1" si="53"/>
        <v>36.563513972224996</v>
      </c>
      <c r="L688" s="17">
        <f t="shared" si="54"/>
        <v>0.90476190476190477</v>
      </c>
      <c r="M688" s="16">
        <f t="shared" ca="1" si="56"/>
        <v>75.986264488010931</v>
      </c>
      <c r="N688" s="18">
        <f t="shared" ca="1" si="55"/>
        <v>0</v>
      </c>
    </row>
    <row r="689" spans="10:14" x14ac:dyDescent="0.25">
      <c r="J689" s="16">
        <f t="shared" ca="1" si="52"/>
        <v>4.3093984700895085</v>
      </c>
      <c r="K689" s="16">
        <f t="shared" ca="1" si="53"/>
        <v>22.920559664984118</v>
      </c>
      <c r="L689" s="17">
        <f t="shared" si="54"/>
        <v>0.90476190476190477</v>
      </c>
      <c r="M689" s="16">
        <f t="shared" ca="1" si="56"/>
        <v>89.366793824937119</v>
      </c>
      <c r="N689" s="18">
        <f t="shared" ca="1" si="55"/>
        <v>0</v>
      </c>
    </row>
    <row r="690" spans="10:14" x14ac:dyDescent="0.25">
      <c r="J690" s="16">
        <f t="shared" ca="1" si="52"/>
        <v>15.079640331255819</v>
      </c>
      <c r="K690" s="16">
        <f t="shared" ca="1" si="53"/>
        <v>34.814024310662035</v>
      </c>
      <c r="L690" s="17">
        <f t="shared" si="54"/>
        <v>0.90476190476190477</v>
      </c>
      <c r="M690" s="16">
        <f t="shared" ca="1" si="56"/>
        <v>474.98458746091501</v>
      </c>
      <c r="N690" s="18">
        <f t="shared" ca="1" si="55"/>
        <v>1</v>
      </c>
    </row>
    <row r="691" spans="10:14" x14ac:dyDescent="0.25">
      <c r="J691" s="16">
        <f t="shared" ca="1" si="52"/>
        <v>6.4261253347238982</v>
      </c>
      <c r="K691" s="16">
        <f t="shared" ca="1" si="53"/>
        <v>41.163368890869478</v>
      </c>
      <c r="L691" s="17">
        <f t="shared" si="54"/>
        <v>0.90476190476190477</v>
      </c>
      <c r="M691" s="16">
        <f t="shared" ca="1" si="56"/>
        <v>239.32849457865888</v>
      </c>
      <c r="N691" s="18">
        <f t="shared" ca="1" si="55"/>
        <v>1</v>
      </c>
    </row>
    <row r="692" spans="10:14" x14ac:dyDescent="0.25">
      <c r="J692" s="16">
        <f t="shared" ca="1" si="52"/>
        <v>14.78654361947464</v>
      </c>
      <c r="K692" s="16">
        <f t="shared" ca="1" si="53"/>
        <v>40.164355437795521</v>
      </c>
      <c r="L692" s="17">
        <f t="shared" si="54"/>
        <v>0.90476190476190477</v>
      </c>
      <c r="M692" s="16">
        <f t="shared" ca="1" si="56"/>
        <v>537.33085137866158</v>
      </c>
      <c r="N692" s="18">
        <f t="shared" ca="1" si="55"/>
        <v>1</v>
      </c>
    </row>
    <row r="693" spans="10:14" x14ac:dyDescent="0.25">
      <c r="J693" s="16">
        <f t="shared" ca="1" si="52"/>
        <v>8.9827059724994154</v>
      </c>
      <c r="K693" s="16">
        <f t="shared" ca="1" si="53"/>
        <v>23.535808853140175</v>
      </c>
      <c r="L693" s="17">
        <f t="shared" si="54"/>
        <v>0.90476190476190477</v>
      </c>
      <c r="M693" s="16">
        <f t="shared" ca="1" si="56"/>
        <v>191.2804649667348</v>
      </c>
      <c r="N693" s="18">
        <f t="shared" ca="1" si="55"/>
        <v>0</v>
      </c>
    </row>
    <row r="694" spans="10:14" x14ac:dyDescent="0.25">
      <c r="J694" s="16">
        <f t="shared" ca="1" si="52"/>
        <v>10.32486136206172</v>
      </c>
      <c r="K694" s="16">
        <f t="shared" ca="1" si="53"/>
        <v>39.766296604238285</v>
      </c>
      <c r="L694" s="17">
        <f t="shared" si="54"/>
        <v>0.90476190476190477</v>
      </c>
      <c r="M694" s="16">
        <f t="shared" ca="1" si="56"/>
        <v>371.47849938601593</v>
      </c>
      <c r="N694" s="18">
        <f t="shared" ca="1" si="55"/>
        <v>1</v>
      </c>
    </row>
    <row r="695" spans="10:14" x14ac:dyDescent="0.25">
      <c r="J695" s="16">
        <f t="shared" ca="1" si="52"/>
        <v>13.391976176635563</v>
      </c>
      <c r="K695" s="16">
        <f t="shared" ca="1" si="53"/>
        <v>25.738905885888261</v>
      </c>
      <c r="L695" s="17">
        <f t="shared" si="54"/>
        <v>0.90476190476190477</v>
      </c>
      <c r="M695" s="16">
        <f t="shared" ca="1" si="56"/>
        <v>311.86673687110135</v>
      </c>
      <c r="N695" s="18">
        <f t="shared" ca="1" si="55"/>
        <v>1</v>
      </c>
    </row>
    <row r="696" spans="10:14" x14ac:dyDescent="0.25">
      <c r="J696" s="16">
        <f t="shared" ca="1" si="52"/>
        <v>7.1820968647783854</v>
      </c>
      <c r="K696" s="16">
        <f t="shared" ca="1" si="53"/>
        <v>22.638897692607195</v>
      </c>
      <c r="L696" s="17">
        <f t="shared" si="54"/>
        <v>0.90476190476190477</v>
      </c>
      <c r="M696" s="16">
        <f t="shared" ca="1" si="56"/>
        <v>147.10954126962582</v>
      </c>
      <c r="N696" s="18">
        <f t="shared" ca="1" si="55"/>
        <v>0</v>
      </c>
    </row>
    <row r="697" spans="10:14" x14ac:dyDescent="0.25">
      <c r="J697" s="16">
        <f t="shared" ca="1" si="52"/>
        <v>9.7186024503010895</v>
      </c>
      <c r="K697" s="16">
        <f t="shared" ca="1" si="53"/>
        <v>45.113301907628795</v>
      </c>
      <c r="L697" s="17">
        <f t="shared" si="54"/>
        <v>0.90476190476190477</v>
      </c>
      <c r="M697" s="16">
        <f t="shared" ca="1" si="56"/>
        <v>396.68222298821075</v>
      </c>
      <c r="N697" s="18">
        <f t="shared" ca="1" si="55"/>
        <v>1</v>
      </c>
    </row>
    <row r="698" spans="10:14" x14ac:dyDescent="0.25">
      <c r="J698" s="16">
        <f t="shared" ca="1" si="52"/>
        <v>6.8531561600917978</v>
      </c>
      <c r="K698" s="16">
        <f t="shared" ca="1" si="53"/>
        <v>38.651248240260685</v>
      </c>
      <c r="L698" s="17">
        <f t="shared" si="54"/>
        <v>0.90476190476190477</v>
      </c>
      <c r="M698" s="16">
        <f t="shared" ca="1" si="56"/>
        <v>239.65608378507693</v>
      </c>
      <c r="N698" s="18">
        <f t="shared" ca="1" si="55"/>
        <v>1</v>
      </c>
    </row>
    <row r="699" spans="10:14" x14ac:dyDescent="0.25">
      <c r="J699" s="16">
        <f t="shared" ca="1" si="52"/>
        <v>2.3850447324066004</v>
      </c>
      <c r="K699" s="16">
        <f t="shared" ca="1" si="53"/>
        <v>33.089790035183199</v>
      </c>
      <c r="L699" s="17">
        <f t="shared" si="54"/>
        <v>0.90476190476190477</v>
      </c>
      <c r="M699" s="16">
        <f t="shared" ca="1" si="56"/>
        <v>71.404378998915618</v>
      </c>
      <c r="N699" s="18">
        <f t="shared" ca="1" si="55"/>
        <v>0</v>
      </c>
    </row>
    <row r="700" spans="10:14" x14ac:dyDescent="0.25">
      <c r="J700" s="16">
        <f t="shared" ca="1" si="52"/>
        <v>8.0554156818382214</v>
      </c>
      <c r="K700" s="16">
        <f t="shared" ca="1" si="53"/>
        <v>23.952597737119401</v>
      </c>
      <c r="L700" s="17">
        <f t="shared" si="54"/>
        <v>0.90476190476190477</v>
      </c>
      <c r="M700" s="16">
        <f t="shared" ca="1" si="56"/>
        <v>174.57211891498724</v>
      </c>
      <c r="N700" s="18">
        <f t="shared" ca="1" si="55"/>
        <v>0</v>
      </c>
    </row>
    <row r="701" spans="10:14" x14ac:dyDescent="0.25">
      <c r="J701" s="16">
        <f t="shared" ca="1" si="52"/>
        <v>10.844766266169165</v>
      </c>
      <c r="K701" s="16">
        <f t="shared" ca="1" si="53"/>
        <v>30.754170088742121</v>
      </c>
      <c r="L701" s="17">
        <f t="shared" si="54"/>
        <v>0.90476190476190477</v>
      </c>
      <c r="M701" s="16">
        <f t="shared" ca="1" si="56"/>
        <v>301.75780667266508</v>
      </c>
      <c r="N701" s="18">
        <f t="shared" ca="1" si="55"/>
        <v>1</v>
      </c>
    </row>
    <row r="702" spans="10:14" x14ac:dyDescent="0.25">
      <c r="J702" s="16">
        <f t="shared" ca="1" si="52"/>
        <v>8.1166881827504991</v>
      </c>
      <c r="K702" s="16">
        <f t="shared" ca="1" si="53"/>
        <v>30.541098425582653</v>
      </c>
      <c r="L702" s="17">
        <f t="shared" si="54"/>
        <v>0.90476190476190477</v>
      </c>
      <c r="M702" s="16">
        <f t="shared" ca="1" si="56"/>
        <v>224.28375623351357</v>
      </c>
      <c r="N702" s="18">
        <f t="shared" ca="1" si="55"/>
        <v>0</v>
      </c>
    </row>
    <row r="703" spans="10:14" x14ac:dyDescent="0.25">
      <c r="J703" s="16">
        <f t="shared" ca="1" si="52"/>
        <v>8.9671769681436544</v>
      </c>
      <c r="K703" s="16">
        <f t="shared" ca="1" si="53"/>
        <v>37.430381999332923</v>
      </c>
      <c r="L703" s="17">
        <f t="shared" si="54"/>
        <v>0.90476190476190477</v>
      </c>
      <c r="M703" s="16">
        <f t="shared" ca="1" si="56"/>
        <v>303.67868229007161</v>
      </c>
      <c r="N703" s="18">
        <f t="shared" ca="1" si="55"/>
        <v>1</v>
      </c>
    </row>
    <row r="704" spans="10:14" x14ac:dyDescent="0.25">
      <c r="J704" s="16">
        <f t="shared" ca="1" si="52"/>
        <v>11.583534828174063</v>
      </c>
      <c r="K704" s="16">
        <f t="shared" ca="1" si="53"/>
        <v>42.533043041579468</v>
      </c>
      <c r="L704" s="17">
        <f t="shared" si="54"/>
        <v>0.90476190476190477</v>
      </c>
      <c r="M704" s="16">
        <f t="shared" ca="1" si="56"/>
        <v>445.76079633270871</v>
      </c>
      <c r="N704" s="18">
        <f t="shared" ca="1" si="55"/>
        <v>1</v>
      </c>
    </row>
    <row r="705" spans="10:14" x14ac:dyDescent="0.25">
      <c r="J705" s="16">
        <f t="shared" ca="1" si="52"/>
        <v>11.681145386783554</v>
      </c>
      <c r="K705" s="16">
        <f t="shared" ca="1" si="53"/>
        <v>38.832371194188838</v>
      </c>
      <c r="L705" s="17">
        <f t="shared" si="54"/>
        <v>0.90476190476190477</v>
      </c>
      <c r="M705" s="16">
        <f t="shared" ca="1" si="56"/>
        <v>410.40594757259259</v>
      </c>
      <c r="N705" s="18">
        <f t="shared" ca="1" si="55"/>
        <v>1</v>
      </c>
    </row>
    <row r="706" spans="10:14" x14ac:dyDescent="0.25">
      <c r="J706" s="16">
        <f t="shared" ca="1" si="52"/>
        <v>8.3583828744830253</v>
      </c>
      <c r="K706" s="16">
        <f t="shared" ca="1" si="53"/>
        <v>35.100950374232212</v>
      </c>
      <c r="L706" s="17">
        <f t="shared" si="54"/>
        <v>0.90476190476190477</v>
      </c>
      <c r="M706" s="16">
        <f t="shared" ca="1" si="56"/>
        <v>265.44554605881717</v>
      </c>
      <c r="N706" s="18">
        <f t="shared" ca="1" si="55"/>
        <v>1</v>
      </c>
    </row>
    <row r="707" spans="10:14" x14ac:dyDescent="0.25">
      <c r="J707" s="16">
        <f t="shared" ca="1" si="52"/>
        <v>7.9705921936531796</v>
      </c>
      <c r="K707" s="16">
        <f t="shared" ca="1" si="53"/>
        <v>44.053396872772439</v>
      </c>
      <c r="L707" s="17">
        <f t="shared" si="54"/>
        <v>0.90476190476190477</v>
      </c>
      <c r="M707" s="16">
        <f t="shared" ca="1" si="56"/>
        <v>317.69055062583249</v>
      </c>
      <c r="N707" s="18">
        <f t="shared" ca="1" si="55"/>
        <v>1</v>
      </c>
    </row>
    <row r="708" spans="10:14" x14ac:dyDescent="0.25">
      <c r="J708" s="16">
        <f t="shared" ref="J708:J771" ca="1" si="57">$D$2*(-LN(1-RAND()))^(1/$D$3)</f>
        <v>13.567397920525973</v>
      </c>
      <c r="K708" s="16">
        <f t="shared" ref="K708:K771" ca="1" si="58">RAND()*($H$3-$H$2)+$H$2</f>
        <v>37.099138443447607</v>
      </c>
      <c r="L708" s="17">
        <f t="shared" ref="L708:L771" si="59">$D$22</f>
        <v>0.90476190476190477</v>
      </c>
      <c r="M708" s="16">
        <f t="shared" ca="1" si="56"/>
        <v>455.40174769751377</v>
      </c>
      <c r="N708" s="18">
        <f t="shared" ref="N708:N771" ca="1" si="60">IF(M708&gt;$R$2,1,0)</f>
        <v>1</v>
      </c>
    </row>
    <row r="709" spans="10:14" x14ac:dyDescent="0.25">
      <c r="J709" s="16">
        <f t="shared" ca="1" si="57"/>
        <v>12.905745356605268</v>
      </c>
      <c r="K709" s="16">
        <f t="shared" ca="1" si="58"/>
        <v>24.38961486152235</v>
      </c>
      <c r="L709" s="17">
        <f t="shared" si="59"/>
        <v>0.90476190476190477</v>
      </c>
      <c r="M709" s="16">
        <f t="shared" ca="1" si="56"/>
        <v>284.78842934386546</v>
      </c>
      <c r="N709" s="18">
        <f t="shared" ca="1" si="60"/>
        <v>1</v>
      </c>
    </row>
    <row r="710" spans="10:14" x14ac:dyDescent="0.25">
      <c r="J710" s="16">
        <f t="shared" ca="1" si="57"/>
        <v>5.6758490925325038</v>
      </c>
      <c r="K710" s="16">
        <f t="shared" ca="1" si="58"/>
        <v>24.050794562583114</v>
      </c>
      <c r="L710" s="17">
        <f t="shared" si="59"/>
        <v>0.90476190476190477</v>
      </c>
      <c r="M710" s="16">
        <f t="shared" ca="1" si="56"/>
        <v>123.50785377913037</v>
      </c>
      <c r="N710" s="18">
        <f t="shared" ca="1" si="60"/>
        <v>0</v>
      </c>
    </row>
    <row r="711" spans="10:14" x14ac:dyDescent="0.25">
      <c r="J711" s="16">
        <f t="shared" ca="1" si="57"/>
        <v>5.3759674737388394</v>
      </c>
      <c r="K711" s="16">
        <f t="shared" ca="1" si="58"/>
        <v>28.935970232161136</v>
      </c>
      <c r="L711" s="17">
        <f t="shared" si="59"/>
        <v>0.90476190476190477</v>
      </c>
      <c r="M711" s="16">
        <f t="shared" ca="1" si="56"/>
        <v>140.74370766639515</v>
      </c>
      <c r="N711" s="18">
        <f t="shared" ca="1" si="60"/>
        <v>0</v>
      </c>
    </row>
    <row r="712" spans="10:14" x14ac:dyDescent="0.25">
      <c r="J712" s="16">
        <f t="shared" ca="1" si="57"/>
        <v>8.4228710591766909</v>
      </c>
      <c r="K712" s="16">
        <f t="shared" ca="1" si="58"/>
        <v>28.982507162184977</v>
      </c>
      <c r="L712" s="17">
        <f t="shared" si="59"/>
        <v>0.90476190476190477</v>
      </c>
      <c r="M712" s="16">
        <f t="shared" ca="1" si="56"/>
        <v>220.86678548458244</v>
      </c>
      <c r="N712" s="18">
        <f t="shared" ca="1" si="60"/>
        <v>0</v>
      </c>
    </row>
    <row r="713" spans="10:14" x14ac:dyDescent="0.25">
      <c r="J713" s="16">
        <f t="shared" ca="1" si="57"/>
        <v>9.1046930608887102</v>
      </c>
      <c r="K713" s="16">
        <f t="shared" ca="1" si="58"/>
        <v>21.584767441570836</v>
      </c>
      <c r="L713" s="17">
        <f t="shared" si="59"/>
        <v>0.90476190476190477</v>
      </c>
      <c r="M713" s="16">
        <f t="shared" ca="1" si="56"/>
        <v>177.8062364084364</v>
      </c>
      <c r="N713" s="18">
        <f t="shared" ca="1" si="60"/>
        <v>0</v>
      </c>
    </row>
    <row r="714" spans="10:14" x14ac:dyDescent="0.25">
      <c r="J714" s="16">
        <f t="shared" ca="1" si="57"/>
        <v>2.265578842319079</v>
      </c>
      <c r="K714" s="16">
        <f t="shared" ca="1" si="58"/>
        <v>35.300258055563923</v>
      </c>
      <c r="L714" s="17">
        <f t="shared" si="59"/>
        <v>0.90476190476190477</v>
      </c>
      <c r="M714" s="16">
        <f t="shared" ca="1" si="56"/>
        <v>72.358801800128376</v>
      </c>
      <c r="N714" s="18">
        <f t="shared" ca="1" si="60"/>
        <v>0</v>
      </c>
    </row>
    <row r="715" spans="10:14" x14ac:dyDescent="0.25">
      <c r="J715" s="16">
        <f t="shared" ca="1" si="57"/>
        <v>8.0626071512604653</v>
      </c>
      <c r="K715" s="16">
        <f t="shared" ca="1" si="58"/>
        <v>37.051892215742924</v>
      </c>
      <c r="L715" s="17">
        <f t="shared" si="59"/>
        <v>0.90476190476190477</v>
      </c>
      <c r="M715" s="16">
        <f t="shared" ca="1" si="56"/>
        <v>270.28391294196365</v>
      </c>
      <c r="N715" s="18">
        <f t="shared" ca="1" si="60"/>
        <v>1</v>
      </c>
    </row>
    <row r="716" spans="10:14" x14ac:dyDescent="0.25">
      <c r="J716" s="16">
        <f t="shared" ca="1" si="57"/>
        <v>10.797243491616722</v>
      </c>
      <c r="K716" s="16">
        <f t="shared" ca="1" si="58"/>
        <v>30.192263776058645</v>
      </c>
      <c r="L716" s="17">
        <f t="shared" si="59"/>
        <v>0.90476190476190477</v>
      </c>
      <c r="M716" s="16">
        <f t="shared" ca="1" si="56"/>
        <v>294.94624988148888</v>
      </c>
      <c r="N716" s="18">
        <f t="shared" ca="1" si="60"/>
        <v>1</v>
      </c>
    </row>
    <row r="717" spans="10:14" x14ac:dyDescent="0.25">
      <c r="J717" s="16">
        <f t="shared" ca="1" si="57"/>
        <v>8.1626372495870765</v>
      </c>
      <c r="K717" s="16">
        <f t="shared" ca="1" si="58"/>
        <v>44.026447327457454</v>
      </c>
      <c r="L717" s="17">
        <f t="shared" si="59"/>
        <v>0.90476190476190477</v>
      </c>
      <c r="M717" s="16">
        <f t="shared" ca="1" si="56"/>
        <v>325.14602188188877</v>
      </c>
      <c r="N717" s="18">
        <f t="shared" ca="1" si="60"/>
        <v>1</v>
      </c>
    </row>
    <row r="718" spans="10:14" x14ac:dyDescent="0.25">
      <c r="J718" s="16">
        <f t="shared" ca="1" si="57"/>
        <v>8.6946163191372001</v>
      </c>
      <c r="K718" s="16">
        <f t="shared" ca="1" si="58"/>
        <v>28.001039921245322</v>
      </c>
      <c r="L718" s="17">
        <f t="shared" si="59"/>
        <v>0.90476190476190477</v>
      </c>
      <c r="M718" s="16">
        <f t="shared" ca="1" si="56"/>
        <v>220.27179401854116</v>
      </c>
      <c r="N718" s="18">
        <f t="shared" ca="1" si="60"/>
        <v>0</v>
      </c>
    </row>
    <row r="719" spans="10:14" x14ac:dyDescent="0.25">
      <c r="J719" s="16">
        <f t="shared" ca="1" si="57"/>
        <v>7.4753591034884295</v>
      </c>
      <c r="K719" s="16">
        <f t="shared" ca="1" si="58"/>
        <v>45.081202597132673</v>
      </c>
      <c r="L719" s="17">
        <f t="shared" si="59"/>
        <v>0.90476190476190477</v>
      </c>
      <c r="M719" s="16">
        <f t="shared" ca="1" si="56"/>
        <v>304.9031136372837</v>
      </c>
      <c r="N719" s="18">
        <f t="shared" ca="1" si="60"/>
        <v>1</v>
      </c>
    </row>
    <row r="720" spans="10:14" x14ac:dyDescent="0.25">
      <c r="J720" s="16">
        <f t="shared" ca="1" si="57"/>
        <v>8.089018396276888</v>
      </c>
      <c r="K720" s="16">
        <f t="shared" ca="1" si="58"/>
        <v>39.260732804904436</v>
      </c>
      <c r="L720" s="17">
        <f t="shared" si="59"/>
        <v>0.90476190476190477</v>
      </c>
      <c r="M720" s="16">
        <f t="shared" ca="1" si="56"/>
        <v>287.33500039492793</v>
      </c>
      <c r="N720" s="18">
        <f t="shared" ca="1" si="60"/>
        <v>1</v>
      </c>
    </row>
    <row r="721" spans="10:14" x14ac:dyDescent="0.25">
      <c r="J721" s="16">
        <f t="shared" ca="1" si="57"/>
        <v>11.002913429681998</v>
      </c>
      <c r="K721" s="16">
        <f t="shared" ca="1" si="58"/>
        <v>35.062833515568144</v>
      </c>
      <c r="L721" s="17">
        <f t="shared" si="59"/>
        <v>0.90476190476190477</v>
      </c>
      <c r="M721" s="16">
        <f t="shared" ca="1" si="56"/>
        <v>349.05110065008699</v>
      </c>
      <c r="N721" s="18">
        <f t="shared" ca="1" si="60"/>
        <v>1</v>
      </c>
    </row>
    <row r="722" spans="10:14" x14ac:dyDescent="0.25">
      <c r="J722" s="16">
        <f t="shared" ca="1" si="57"/>
        <v>6.7849216328423321</v>
      </c>
      <c r="K722" s="16">
        <f t="shared" ca="1" si="58"/>
        <v>39.319036996500898</v>
      </c>
      <c r="L722" s="17">
        <f t="shared" si="59"/>
        <v>0.90476190476190477</v>
      </c>
      <c r="M722" s="16">
        <f t="shared" ca="1" si="56"/>
        <v>241.36929091912626</v>
      </c>
      <c r="N722" s="18">
        <f t="shared" ca="1" si="60"/>
        <v>1</v>
      </c>
    </row>
    <row r="723" spans="10:14" x14ac:dyDescent="0.25">
      <c r="J723" s="16">
        <f t="shared" ca="1" si="57"/>
        <v>6.7796305184611994</v>
      </c>
      <c r="K723" s="16">
        <f t="shared" ca="1" si="58"/>
        <v>33.345713675365609</v>
      </c>
      <c r="L723" s="17">
        <f t="shared" si="59"/>
        <v>0.90476190476190477</v>
      </c>
      <c r="M723" s="16">
        <f t="shared" ref="M723:M786" ca="1" si="61">J723*K723*L723</f>
        <v>204.54098779877026</v>
      </c>
      <c r="N723" s="18">
        <f t="shared" ca="1" si="60"/>
        <v>0</v>
      </c>
    </row>
    <row r="724" spans="10:14" x14ac:dyDescent="0.25">
      <c r="J724" s="16">
        <f t="shared" ca="1" si="57"/>
        <v>10.394636600684672</v>
      </c>
      <c r="K724" s="16">
        <f t="shared" ca="1" si="58"/>
        <v>38.230768447097716</v>
      </c>
      <c r="L724" s="17">
        <f t="shared" si="59"/>
        <v>0.90476190476190477</v>
      </c>
      <c r="M724" s="16">
        <f t="shared" ca="1" si="61"/>
        <v>359.5478073560738</v>
      </c>
      <c r="N724" s="18">
        <f t="shared" ca="1" si="60"/>
        <v>1</v>
      </c>
    </row>
    <row r="725" spans="10:14" x14ac:dyDescent="0.25">
      <c r="J725" s="16">
        <f t="shared" ca="1" si="57"/>
        <v>9.2587217294804045</v>
      </c>
      <c r="K725" s="16">
        <f t="shared" ca="1" si="58"/>
        <v>29.40735562451799</v>
      </c>
      <c r="L725" s="17">
        <f t="shared" si="59"/>
        <v>0.90476190476190477</v>
      </c>
      <c r="M725" s="16">
        <f t="shared" ca="1" si="61"/>
        <v>246.34361561992228</v>
      </c>
      <c r="N725" s="18">
        <f t="shared" ca="1" si="60"/>
        <v>1</v>
      </c>
    </row>
    <row r="726" spans="10:14" x14ac:dyDescent="0.25">
      <c r="J726" s="16">
        <f t="shared" ca="1" si="57"/>
        <v>3.1471431967032704</v>
      </c>
      <c r="K726" s="16">
        <f t="shared" ca="1" si="58"/>
        <v>44.392846380148733</v>
      </c>
      <c r="L726" s="17">
        <f t="shared" si="59"/>
        <v>0.90476190476190477</v>
      </c>
      <c r="M726" s="16">
        <f t="shared" ca="1" si="61"/>
        <v>126.40486880399958</v>
      </c>
      <c r="N726" s="18">
        <f t="shared" ca="1" si="60"/>
        <v>0</v>
      </c>
    </row>
    <row r="727" spans="10:14" x14ac:dyDescent="0.25">
      <c r="J727" s="16">
        <f t="shared" ca="1" si="57"/>
        <v>10.111935520850558</v>
      </c>
      <c r="K727" s="16">
        <f t="shared" ca="1" si="58"/>
        <v>35.652318346228924</v>
      </c>
      <c r="L727" s="17">
        <f t="shared" si="59"/>
        <v>0.90476190476190477</v>
      </c>
      <c r="M727" s="16">
        <f t="shared" ca="1" si="61"/>
        <v>326.17928292534197</v>
      </c>
      <c r="N727" s="18">
        <f t="shared" ca="1" si="60"/>
        <v>1</v>
      </c>
    </row>
    <row r="728" spans="10:14" x14ac:dyDescent="0.25">
      <c r="J728" s="16">
        <f t="shared" ca="1" si="57"/>
        <v>11.721687160354703</v>
      </c>
      <c r="K728" s="16">
        <f t="shared" ca="1" si="58"/>
        <v>39.191444324513895</v>
      </c>
      <c r="L728" s="17">
        <f t="shared" si="59"/>
        <v>0.90476190476190477</v>
      </c>
      <c r="M728" s="16">
        <f t="shared" ca="1" si="61"/>
        <v>415.63843547399068</v>
      </c>
      <c r="N728" s="18">
        <f t="shared" ca="1" si="60"/>
        <v>1</v>
      </c>
    </row>
    <row r="729" spans="10:14" x14ac:dyDescent="0.25">
      <c r="J729" s="16">
        <f t="shared" ca="1" si="57"/>
        <v>8.4570934541588993</v>
      </c>
      <c r="K729" s="16">
        <f t="shared" ca="1" si="58"/>
        <v>25.027783980837643</v>
      </c>
      <c r="L729" s="17">
        <f t="shared" si="59"/>
        <v>0.90476190476190477</v>
      </c>
      <c r="M729" s="16">
        <f t="shared" ca="1" si="61"/>
        <v>191.50399302154545</v>
      </c>
      <c r="N729" s="18">
        <f t="shared" ca="1" si="60"/>
        <v>0</v>
      </c>
    </row>
    <row r="730" spans="10:14" x14ac:dyDescent="0.25">
      <c r="J730" s="16">
        <f t="shared" ca="1" si="57"/>
        <v>1.7065922587966773</v>
      </c>
      <c r="K730" s="16">
        <f t="shared" ca="1" si="58"/>
        <v>23.540680355395658</v>
      </c>
      <c r="L730" s="17">
        <f t="shared" si="59"/>
        <v>0.90476190476190477</v>
      </c>
      <c r="M730" s="16">
        <f t="shared" ca="1" si="61"/>
        <v>36.34821496977046</v>
      </c>
      <c r="N730" s="18">
        <f t="shared" ca="1" si="60"/>
        <v>0</v>
      </c>
    </row>
    <row r="731" spans="10:14" x14ac:dyDescent="0.25">
      <c r="J731" s="16">
        <f t="shared" ca="1" si="57"/>
        <v>6.2668996042770777</v>
      </c>
      <c r="K731" s="16">
        <f t="shared" ca="1" si="58"/>
        <v>20.244391994981822</v>
      </c>
      <c r="L731" s="17">
        <f t="shared" si="59"/>
        <v>0.90476190476190477</v>
      </c>
      <c r="M731" s="16">
        <f t="shared" ca="1" si="61"/>
        <v>114.7867557838786</v>
      </c>
      <c r="N731" s="18">
        <f t="shared" ca="1" si="60"/>
        <v>0</v>
      </c>
    </row>
    <row r="732" spans="10:14" x14ac:dyDescent="0.25">
      <c r="J732" s="16">
        <f t="shared" ca="1" si="57"/>
        <v>2.8599840775669341</v>
      </c>
      <c r="K732" s="16">
        <f t="shared" ca="1" si="58"/>
        <v>21.441151969705928</v>
      </c>
      <c r="L732" s="17">
        <f t="shared" si="59"/>
        <v>0.90476190476190477</v>
      </c>
      <c r="M732" s="16">
        <f t="shared" ca="1" si="61"/>
        <v>55.481224358237391</v>
      </c>
      <c r="N732" s="18">
        <f t="shared" ca="1" si="60"/>
        <v>0</v>
      </c>
    </row>
    <row r="733" spans="10:14" x14ac:dyDescent="0.25">
      <c r="J733" s="16">
        <f t="shared" ca="1" si="57"/>
        <v>3.198651583731428</v>
      </c>
      <c r="K733" s="16">
        <f t="shared" ca="1" si="58"/>
        <v>33.214601447416257</v>
      </c>
      <c r="L733" s="17">
        <f t="shared" si="59"/>
        <v>0.90476190476190477</v>
      </c>
      <c r="M733" s="16">
        <f t="shared" ca="1" si="61"/>
        <v>96.123657758711317</v>
      </c>
      <c r="N733" s="18">
        <f t="shared" ca="1" si="60"/>
        <v>0</v>
      </c>
    </row>
    <row r="734" spans="10:14" x14ac:dyDescent="0.25">
      <c r="J734" s="16">
        <f t="shared" ca="1" si="57"/>
        <v>9.8014591306215504</v>
      </c>
      <c r="K734" s="16">
        <f t="shared" ca="1" si="58"/>
        <v>31.045611871172856</v>
      </c>
      <c r="L734" s="17">
        <f t="shared" si="59"/>
        <v>0.90476190476190477</v>
      </c>
      <c r="M734" s="16">
        <f t="shared" ca="1" si="61"/>
        <v>275.3120772794457</v>
      </c>
      <c r="N734" s="18">
        <f t="shared" ca="1" si="60"/>
        <v>1</v>
      </c>
    </row>
    <row r="735" spans="10:14" x14ac:dyDescent="0.25">
      <c r="J735" s="16">
        <f t="shared" ca="1" si="57"/>
        <v>3.9513123076793999</v>
      </c>
      <c r="K735" s="16">
        <f t="shared" ca="1" si="58"/>
        <v>38.559118925328157</v>
      </c>
      <c r="L735" s="17">
        <f t="shared" si="59"/>
        <v>0.90476190476190477</v>
      </c>
      <c r="M735" s="16">
        <f t="shared" ca="1" si="61"/>
        <v>137.84872868931112</v>
      </c>
      <c r="N735" s="18">
        <f t="shared" ca="1" si="60"/>
        <v>0</v>
      </c>
    </row>
    <row r="736" spans="10:14" x14ac:dyDescent="0.25">
      <c r="J736" s="16">
        <f t="shared" ca="1" si="57"/>
        <v>8.1042356984041906</v>
      </c>
      <c r="K736" s="16">
        <f t="shared" ca="1" si="58"/>
        <v>43.819534011838869</v>
      </c>
      <c r="L736" s="17">
        <f t="shared" si="59"/>
        <v>0.90476190476190477</v>
      </c>
      <c r="M736" s="16">
        <f t="shared" ca="1" si="61"/>
        <v>321.30251450940204</v>
      </c>
      <c r="N736" s="18">
        <f t="shared" ca="1" si="60"/>
        <v>1</v>
      </c>
    </row>
    <row r="737" spans="10:14" x14ac:dyDescent="0.25">
      <c r="J737" s="16">
        <f t="shared" ca="1" si="57"/>
        <v>10.212579610552359</v>
      </c>
      <c r="K737" s="16">
        <f t="shared" ca="1" si="58"/>
        <v>31.289368686195242</v>
      </c>
      <c r="L737" s="17">
        <f t="shared" si="59"/>
        <v>0.90476190476190477</v>
      </c>
      <c r="M737" s="16">
        <f t="shared" ca="1" si="61"/>
        <v>289.1122954648651</v>
      </c>
      <c r="N737" s="18">
        <f t="shared" ca="1" si="60"/>
        <v>1</v>
      </c>
    </row>
    <row r="738" spans="10:14" x14ac:dyDescent="0.25">
      <c r="J738" s="16">
        <f t="shared" ca="1" si="57"/>
        <v>4.853728388327526</v>
      </c>
      <c r="K738" s="16">
        <f t="shared" ca="1" si="58"/>
        <v>21.960803905593309</v>
      </c>
      <c r="L738" s="17">
        <f t="shared" si="59"/>
        <v>0.90476190476190477</v>
      </c>
      <c r="M738" s="16">
        <f t="shared" ca="1" si="61"/>
        <v>96.44017950449394</v>
      </c>
      <c r="N738" s="18">
        <f t="shared" ca="1" si="60"/>
        <v>0</v>
      </c>
    </row>
    <row r="739" spans="10:14" x14ac:dyDescent="0.25">
      <c r="J739" s="16">
        <f t="shared" ca="1" si="57"/>
        <v>13.751278219622183</v>
      </c>
      <c r="K739" s="16">
        <f t="shared" ca="1" si="58"/>
        <v>22.87177368781915</v>
      </c>
      <c r="L739" s="17">
        <f t="shared" si="59"/>
        <v>0.90476190476190477</v>
      </c>
      <c r="M739" s="16">
        <f t="shared" ca="1" si="61"/>
        <v>284.5622068472033</v>
      </c>
      <c r="N739" s="18">
        <f t="shared" ca="1" si="60"/>
        <v>1</v>
      </c>
    </row>
    <row r="740" spans="10:14" x14ac:dyDescent="0.25">
      <c r="J740" s="16">
        <f t="shared" ca="1" si="57"/>
        <v>8.037900667830014</v>
      </c>
      <c r="K740" s="16">
        <f t="shared" ca="1" si="58"/>
        <v>39.071207843045286</v>
      </c>
      <c r="L740" s="17">
        <f t="shared" si="59"/>
        <v>0.90476190476190477</v>
      </c>
      <c r="M740" s="16">
        <f t="shared" ca="1" si="61"/>
        <v>284.1409173655353</v>
      </c>
      <c r="N740" s="18">
        <f t="shared" ca="1" si="60"/>
        <v>1</v>
      </c>
    </row>
    <row r="741" spans="10:14" x14ac:dyDescent="0.25">
      <c r="J741" s="16">
        <f t="shared" ca="1" si="57"/>
        <v>10.553170539107436</v>
      </c>
      <c r="K741" s="16">
        <f t="shared" ca="1" si="58"/>
        <v>24.899112798806868</v>
      </c>
      <c r="L741" s="17">
        <f t="shared" si="59"/>
        <v>0.90476190476190477</v>
      </c>
      <c r="M741" s="16">
        <f t="shared" ca="1" si="61"/>
        <v>237.73938519654044</v>
      </c>
      <c r="N741" s="18">
        <f t="shared" ca="1" si="60"/>
        <v>1</v>
      </c>
    </row>
    <row r="742" spans="10:14" x14ac:dyDescent="0.25">
      <c r="J742" s="16">
        <f t="shared" ca="1" si="57"/>
        <v>8.3999283261798219</v>
      </c>
      <c r="K742" s="16">
        <f t="shared" ca="1" si="58"/>
        <v>41.570689727987016</v>
      </c>
      <c r="L742" s="17">
        <f t="shared" si="59"/>
        <v>0.90476190476190477</v>
      </c>
      <c r="M742" s="16">
        <f t="shared" ca="1" si="61"/>
        <v>315.93454616733635</v>
      </c>
      <c r="N742" s="18">
        <f t="shared" ca="1" si="60"/>
        <v>1</v>
      </c>
    </row>
    <row r="743" spans="10:14" x14ac:dyDescent="0.25">
      <c r="J743" s="16">
        <f t="shared" ca="1" si="57"/>
        <v>3.4609897829119447</v>
      </c>
      <c r="K743" s="16">
        <f t="shared" ca="1" si="58"/>
        <v>40.552780898899954</v>
      </c>
      <c r="L743" s="17">
        <f t="shared" si="59"/>
        <v>0.90476190476190477</v>
      </c>
      <c r="M743" s="16">
        <f t="shared" ca="1" si="61"/>
        <v>126.98583080168707</v>
      </c>
      <c r="N743" s="18">
        <f t="shared" ca="1" si="60"/>
        <v>0</v>
      </c>
    </row>
    <row r="744" spans="10:14" x14ac:dyDescent="0.25">
      <c r="J744" s="16">
        <f t="shared" ca="1" si="57"/>
        <v>5.4729617482952024</v>
      </c>
      <c r="K744" s="16">
        <f t="shared" ca="1" si="58"/>
        <v>39.467099458587569</v>
      </c>
      <c r="L744" s="17">
        <f t="shared" si="59"/>
        <v>0.90476190476190477</v>
      </c>
      <c r="M744" s="16">
        <f t="shared" ca="1" si="61"/>
        <v>195.43031368605853</v>
      </c>
      <c r="N744" s="18">
        <f t="shared" ca="1" si="60"/>
        <v>0</v>
      </c>
    </row>
    <row r="745" spans="10:14" x14ac:dyDescent="0.25">
      <c r="J745" s="16">
        <f t="shared" ca="1" si="57"/>
        <v>14.063015320352203</v>
      </c>
      <c r="K745" s="16">
        <f t="shared" ca="1" si="58"/>
        <v>23.049355479341067</v>
      </c>
      <c r="L745" s="17">
        <f t="shared" si="59"/>
        <v>0.90476190476190477</v>
      </c>
      <c r="M745" s="16">
        <f t="shared" ca="1" si="61"/>
        <v>293.27263549400624</v>
      </c>
      <c r="N745" s="18">
        <f t="shared" ca="1" si="60"/>
        <v>1</v>
      </c>
    </row>
    <row r="746" spans="10:14" x14ac:dyDescent="0.25">
      <c r="J746" s="16">
        <f t="shared" ca="1" si="57"/>
        <v>5.5415356472211013</v>
      </c>
      <c r="K746" s="16">
        <f t="shared" ca="1" si="58"/>
        <v>30.435867180307682</v>
      </c>
      <c r="L746" s="17">
        <f t="shared" si="59"/>
        <v>0.90476190476190477</v>
      </c>
      <c r="M746" s="16">
        <f t="shared" ca="1" si="61"/>
        <v>152.59844836864164</v>
      </c>
      <c r="N746" s="18">
        <f t="shared" ca="1" si="60"/>
        <v>0</v>
      </c>
    </row>
    <row r="747" spans="10:14" x14ac:dyDescent="0.25">
      <c r="J747" s="16">
        <f t="shared" ca="1" si="57"/>
        <v>9.8104793892431168</v>
      </c>
      <c r="K747" s="16">
        <f t="shared" ca="1" si="58"/>
        <v>45.296817789092842</v>
      </c>
      <c r="L747" s="17">
        <f t="shared" si="59"/>
        <v>0.90476190476190477</v>
      </c>
      <c r="M747" s="16">
        <f t="shared" ca="1" si="61"/>
        <v>402.06125947836807</v>
      </c>
      <c r="N747" s="18">
        <f t="shared" ca="1" si="60"/>
        <v>1</v>
      </c>
    </row>
    <row r="748" spans="10:14" x14ac:dyDescent="0.25">
      <c r="J748" s="16">
        <f t="shared" ca="1" si="57"/>
        <v>9.5360153044821079</v>
      </c>
      <c r="K748" s="16">
        <f t="shared" ca="1" si="58"/>
        <v>38.949256989595817</v>
      </c>
      <c r="L748" s="17">
        <f t="shared" si="59"/>
        <v>0.90476190476190477</v>
      </c>
      <c r="M748" s="16">
        <f t="shared" ca="1" si="61"/>
        <v>336.04730972708842</v>
      </c>
      <c r="N748" s="18">
        <f t="shared" ca="1" si="60"/>
        <v>1</v>
      </c>
    </row>
    <row r="749" spans="10:14" x14ac:dyDescent="0.25">
      <c r="J749" s="16">
        <f t="shared" ca="1" si="57"/>
        <v>6.1304524083004877</v>
      </c>
      <c r="K749" s="16">
        <f t="shared" ca="1" si="58"/>
        <v>34.800879562572781</v>
      </c>
      <c r="L749" s="17">
        <f t="shared" si="59"/>
        <v>0.90476190476190477</v>
      </c>
      <c r="M749" s="16">
        <f t="shared" ca="1" si="61"/>
        <v>193.02655155150671</v>
      </c>
      <c r="N749" s="18">
        <f t="shared" ca="1" si="60"/>
        <v>0</v>
      </c>
    </row>
    <row r="750" spans="10:14" x14ac:dyDescent="0.25">
      <c r="J750" s="16">
        <f t="shared" ca="1" si="57"/>
        <v>6.5007595689361022</v>
      </c>
      <c r="K750" s="16">
        <f t="shared" ca="1" si="58"/>
        <v>30.878875089214628</v>
      </c>
      <c r="L750" s="17">
        <f t="shared" si="59"/>
        <v>0.90476190476190477</v>
      </c>
      <c r="M750" s="16">
        <f t="shared" ca="1" si="61"/>
        <v>181.61841483665228</v>
      </c>
      <c r="N750" s="18">
        <f t="shared" ca="1" si="60"/>
        <v>0</v>
      </c>
    </row>
    <row r="751" spans="10:14" x14ac:dyDescent="0.25">
      <c r="J751" s="16">
        <f t="shared" ca="1" si="57"/>
        <v>6.9132951949947135</v>
      </c>
      <c r="K751" s="16">
        <f t="shared" ca="1" si="58"/>
        <v>27.846609096704846</v>
      </c>
      <c r="L751" s="17">
        <f t="shared" si="59"/>
        <v>0.90476190476190477</v>
      </c>
      <c r="M751" s="16">
        <f t="shared" ca="1" si="61"/>
        <v>174.17736897322706</v>
      </c>
      <c r="N751" s="18">
        <f t="shared" ca="1" si="60"/>
        <v>0</v>
      </c>
    </row>
    <row r="752" spans="10:14" x14ac:dyDescent="0.25">
      <c r="J752" s="16">
        <f t="shared" ca="1" si="57"/>
        <v>14.859459526266265</v>
      </c>
      <c r="K752" s="16">
        <f t="shared" ca="1" si="58"/>
        <v>33.058921419144028</v>
      </c>
      <c r="L752" s="17">
        <f t="shared" si="59"/>
        <v>0.90476190476190477</v>
      </c>
      <c r="M752" s="16">
        <f t="shared" ca="1" si="61"/>
        <v>444.45316149456971</v>
      </c>
      <c r="N752" s="18">
        <f t="shared" ca="1" si="60"/>
        <v>1</v>
      </c>
    </row>
    <row r="753" spans="10:14" x14ac:dyDescent="0.25">
      <c r="J753" s="16">
        <f t="shared" ca="1" si="57"/>
        <v>7.7038177158676486</v>
      </c>
      <c r="K753" s="16">
        <f t="shared" ca="1" si="58"/>
        <v>39.846717724009778</v>
      </c>
      <c r="L753" s="17">
        <f t="shared" si="59"/>
        <v>0.90476190476190477</v>
      </c>
      <c r="M753" s="16">
        <f t="shared" ca="1" si="61"/>
        <v>277.73643564317501</v>
      </c>
      <c r="N753" s="18">
        <f t="shared" ca="1" si="60"/>
        <v>1</v>
      </c>
    </row>
    <row r="754" spans="10:14" x14ac:dyDescent="0.25">
      <c r="J754" s="16">
        <f t="shared" ca="1" si="57"/>
        <v>11.204779345810898</v>
      </c>
      <c r="K754" s="16">
        <f t="shared" ca="1" si="58"/>
        <v>28.930891544317284</v>
      </c>
      <c r="L754" s="17">
        <f t="shared" si="59"/>
        <v>0.90476190476190477</v>
      </c>
      <c r="M754" s="16">
        <f t="shared" ca="1" si="61"/>
        <v>293.29146974293178</v>
      </c>
      <c r="N754" s="18">
        <f t="shared" ca="1" si="60"/>
        <v>1</v>
      </c>
    </row>
    <row r="755" spans="10:14" x14ac:dyDescent="0.25">
      <c r="J755" s="16">
        <f t="shared" ca="1" si="57"/>
        <v>11.379539076786255</v>
      </c>
      <c r="K755" s="16">
        <f t="shared" ca="1" si="58"/>
        <v>28.445030143464198</v>
      </c>
      <c r="L755" s="17">
        <f t="shared" si="59"/>
        <v>0.90476190476190477</v>
      </c>
      <c r="M755" s="16">
        <f t="shared" ca="1" si="61"/>
        <v>292.86358614763628</v>
      </c>
      <c r="N755" s="18">
        <f t="shared" ca="1" si="60"/>
        <v>1</v>
      </c>
    </row>
    <row r="756" spans="10:14" x14ac:dyDescent="0.25">
      <c r="J756" s="16">
        <f t="shared" ca="1" si="57"/>
        <v>9.8937213486489792</v>
      </c>
      <c r="K756" s="16">
        <f t="shared" ca="1" si="58"/>
        <v>27.719075190778568</v>
      </c>
      <c r="L756" s="17">
        <f t="shared" si="59"/>
        <v>0.90476190476190477</v>
      </c>
      <c r="M756" s="16">
        <f t="shared" ca="1" si="61"/>
        <v>248.1262530293539</v>
      </c>
      <c r="N756" s="18">
        <f t="shared" ca="1" si="60"/>
        <v>1</v>
      </c>
    </row>
    <row r="757" spans="10:14" x14ac:dyDescent="0.25">
      <c r="J757" s="16">
        <f t="shared" ca="1" si="57"/>
        <v>6.9759882218136546</v>
      </c>
      <c r="K757" s="16">
        <f t="shared" ca="1" si="58"/>
        <v>29.920710638619809</v>
      </c>
      <c r="L757" s="17">
        <f t="shared" si="59"/>
        <v>0.90476190476190477</v>
      </c>
      <c r="M757" s="16">
        <f t="shared" ca="1" si="61"/>
        <v>188.84780833632476</v>
      </c>
      <c r="N757" s="18">
        <f t="shared" ca="1" si="60"/>
        <v>0</v>
      </c>
    </row>
    <row r="758" spans="10:14" x14ac:dyDescent="0.25">
      <c r="J758" s="16">
        <f t="shared" ca="1" si="57"/>
        <v>14.704541389929007</v>
      </c>
      <c r="K758" s="16">
        <f t="shared" ca="1" si="58"/>
        <v>28.788314022973832</v>
      </c>
      <c r="L758" s="17">
        <f t="shared" si="59"/>
        <v>0.90476190476190477</v>
      </c>
      <c r="M758" s="16">
        <f t="shared" ca="1" si="61"/>
        <v>383.00286413546456</v>
      </c>
      <c r="N758" s="18">
        <f t="shared" ca="1" si="60"/>
        <v>1</v>
      </c>
    </row>
    <row r="759" spans="10:14" x14ac:dyDescent="0.25">
      <c r="J759" s="16">
        <f t="shared" ca="1" si="57"/>
        <v>10.406867100995768</v>
      </c>
      <c r="K759" s="16">
        <f t="shared" ca="1" si="58"/>
        <v>40.55734313603277</v>
      </c>
      <c r="L759" s="17">
        <f t="shared" si="59"/>
        <v>0.90476190476190477</v>
      </c>
      <c r="M759" s="16">
        <f t="shared" ca="1" si="61"/>
        <v>381.87727236844495</v>
      </c>
      <c r="N759" s="18">
        <f t="shared" ca="1" si="60"/>
        <v>1</v>
      </c>
    </row>
    <row r="760" spans="10:14" x14ac:dyDescent="0.25">
      <c r="J760" s="16">
        <f t="shared" ca="1" si="57"/>
        <v>8.3571116706973427</v>
      </c>
      <c r="K760" s="16">
        <f t="shared" ca="1" si="58"/>
        <v>27.591902367668471</v>
      </c>
      <c r="L760" s="17">
        <f t="shared" si="59"/>
        <v>0.90476190476190477</v>
      </c>
      <c r="M760" s="16">
        <f t="shared" ca="1" si="61"/>
        <v>208.62778936086156</v>
      </c>
      <c r="N760" s="18">
        <f t="shared" ca="1" si="60"/>
        <v>0</v>
      </c>
    </row>
    <row r="761" spans="10:14" x14ac:dyDescent="0.25">
      <c r="J761" s="16">
        <f t="shared" ca="1" si="57"/>
        <v>10.493175470170709</v>
      </c>
      <c r="K761" s="16">
        <f t="shared" ca="1" si="58"/>
        <v>42.241010667013683</v>
      </c>
      <c r="L761" s="17">
        <f t="shared" si="59"/>
        <v>0.90476190476190477</v>
      </c>
      <c r="M761" s="16">
        <f t="shared" ca="1" si="61"/>
        <v>401.02878106477226</v>
      </c>
      <c r="N761" s="18">
        <f t="shared" ca="1" si="60"/>
        <v>1</v>
      </c>
    </row>
    <row r="762" spans="10:14" x14ac:dyDescent="0.25">
      <c r="J762" s="16">
        <f t="shared" ca="1" si="57"/>
        <v>5.8070465265159594</v>
      </c>
      <c r="K762" s="16">
        <f t="shared" ca="1" si="58"/>
        <v>40.590112257034505</v>
      </c>
      <c r="L762" s="17">
        <f t="shared" si="59"/>
        <v>0.90476190476190477</v>
      </c>
      <c r="M762" s="16">
        <f t="shared" ca="1" si="61"/>
        <v>213.26022559376173</v>
      </c>
      <c r="N762" s="18">
        <f t="shared" ca="1" si="60"/>
        <v>0</v>
      </c>
    </row>
    <row r="763" spans="10:14" x14ac:dyDescent="0.25">
      <c r="J763" s="16">
        <f t="shared" ca="1" si="57"/>
        <v>5.9723765064291481</v>
      </c>
      <c r="K763" s="16">
        <f t="shared" ca="1" si="58"/>
        <v>35.778967221353042</v>
      </c>
      <c r="L763" s="17">
        <f t="shared" si="59"/>
        <v>0.90476190476190477</v>
      </c>
      <c r="M763" s="16">
        <f t="shared" ca="1" si="61"/>
        <v>193.3344667564306</v>
      </c>
      <c r="N763" s="18">
        <f t="shared" ca="1" si="60"/>
        <v>0</v>
      </c>
    </row>
    <row r="764" spans="10:14" x14ac:dyDescent="0.25">
      <c r="J764" s="16">
        <f t="shared" ca="1" si="57"/>
        <v>12.098222317374047</v>
      </c>
      <c r="K764" s="16">
        <f t="shared" ca="1" si="58"/>
        <v>45.321245988597894</v>
      </c>
      <c r="L764" s="17">
        <f t="shared" si="59"/>
        <v>0.90476190476190477</v>
      </c>
      <c r="M764" s="16">
        <f t="shared" ca="1" si="61"/>
        <v>496.08684208279175</v>
      </c>
      <c r="N764" s="18">
        <f t="shared" ca="1" si="60"/>
        <v>1</v>
      </c>
    </row>
    <row r="765" spans="10:14" x14ac:dyDescent="0.25">
      <c r="J765" s="16">
        <f t="shared" ca="1" si="57"/>
        <v>2.7625298346701941</v>
      </c>
      <c r="K765" s="16">
        <f t="shared" ca="1" si="58"/>
        <v>31.805168881869324</v>
      </c>
      <c r="L765" s="17">
        <f t="shared" si="59"/>
        <v>0.90476190476190477</v>
      </c>
      <c r="M765" s="16">
        <f t="shared" ca="1" si="61"/>
        <v>79.494849082136824</v>
      </c>
      <c r="N765" s="18">
        <f t="shared" ca="1" si="60"/>
        <v>0</v>
      </c>
    </row>
    <row r="766" spans="10:14" x14ac:dyDescent="0.25">
      <c r="J766" s="16">
        <f t="shared" ca="1" si="57"/>
        <v>3.7478479888818494</v>
      </c>
      <c r="K766" s="16">
        <f t="shared" ca="1" si="58"/>
        <v>31.178279084429892</v>
      </c>
      <c r="L766" s="17">
        <f t="shared" si="59"/>
        <v>0.90476190476190477</v>
      </c>
      <c r="M766" s="16">
        <f t="shared" ca="1" si="61"/>
        <v>105.72274098591306</v>
      </c>
      <c r="N766" s="18">
        <f t="shared" ca="1" si="60"/>
        <v>0</v>
      </c>
    </row>
    <row r="767" spans="10:14" x14ac:dyDescent="0.25">
      <c r="J767" s="16">
        <f t="shared" ca="1" si="57"/>
        <v>6.9978612426870779</v>
      </c>
      <c r="K767" s="16">
        <f t="shared" ca="1" si="58"/>
        <v>25.372271049565647</v>
      </c>
      <c r="L767" s="17">
        <f t="shared" si="59"/>
        <v>0.90476190476190477</v>
      </c>
      <c r="M767" s="16">
        <f t="shared" ca="1" si="61"/>
        <v>160.64195295797285</v>
      </c>
      <c r="N767" s="18">
        <f t="shared" ca="1" si="60"/>
        <v>0</v>
      </c>
    </row>
    <row r="768" spans="10:14" x14ac:dyDescent="0.25">
      <c r="J768" s="16">
        <f t="shared" ca="1" si="57"/>
        <v>15.069271714198791</v>
      </c>
      <c r="K768" s="16">
        <f t="shared" ca="1" si="58"/>
        <v>20.548258257859086</v>
      </c>
      <c r="L768" s="17">
        <f t="shared" si="59"/>
        <v>0.90476190476190477</v>
      </c>
      <c r="M768" s="16">
        <f t="shared" ca="1" si="61"/>
        <v>280.15706913728314</v>
      </c>
      <c r="N768" s="18">
        <f t="shared" ca="1" si="60"/>
        <v>1</v>
      </c>
    </row>
    <row r="769" spans="10:14" x14ac:dyDescent="0.25">
      <c r="J769" s="16">
        <f t="shared" ca="1" si="57"/>
        <v>12.426311860580402</v>
      </c>
      <c r="K769" s="16">
        <f t="shared" ca="1" si="58"/>
        <v>35.077699836528801</v>
      </c>
      <c r="L769" s="17">
        <f t="shared" si="59"/>
        <v>0.90476190476190477</v>
      </c>
      <c r="M769" s="16">
        <f t="shared" ca="1" si="61"/>
        <v>394.37344347096212</v>
      </c>
      <c r="N769" s="18">
        <f t="shared" ca="1" si="60"/>
        <v>1</v>
      </c>
    </row>
    <row r="770" spans="10:14" x14ac:dyDescent="0.25">
      <c r="J770" s="16">
        <f t="shared" ca="1" si="57"/>
        <v>4.9501876685047108</v>
      </c>
      <c r="K770" s="16">
        <f t="shared" ca="1" si="58"/>
        <v>34.523299638065069</v>
      </c>
      <c r="L770" s="17">
        <f t="shared" si="59"/>
        <v>0.90476190476190477</v>
      </c>
      <c r="M770" s="16">
        <f t="shared" ca="1" si="61"/>
        <v>154.62092527354355</v>
      </c>
      <c r="N770" s="18">
        <f t="shared" ca="1" si="60"/>
        <v>0</v>
      </c>
    </row>
    <row r="771" spans="10:14" x14ac:dyDescent="0.25">
      <c r="J771" s="16">
        <f t="shared" ca="1" si="57"/>
        <v>4.579054026833834</v>
      </c>
      <c r="K771" s="16">
        <f t="shared" ca="1" si="58"/>
        <v>39.648096466278503</v>
      </c>
      <c r="L771" s="17">
        <f t="shared" si="59"/>
        <v>0.90476190476190477</v>
      </c>
      <c r="M771" s="16">
        <f t="shared" ca="1" si="61"/>
        <v>164.26022570590328</v>
      </c>
      <c r="N771" s="18">
        <f t="shared" ca="1" si="60"/>
        <v>0</v>
      </c>
    </row>
    <row r="772" spans="10:14" x14ac:dyDescent="0.25">
      <c r="J772" s="16">
        <f t="shared" ref="J772:J835" ca="1" si="62">$D$2*(-LN(1-RAND()))^(1/$D$3)</f>
        <v>12.080592487992483</v>
      </c>
      <c r="K772" s="16">
        <f t="shared" ref="K772:K835" ca="1" si="63">RAND()*($H$3-$H$2)+$H$2</f>
        <v>34.221714597222977</v>
      </c>
      <c r="L772" s="17">
        <f t="shared" ref="L772:L835" si="64">$D$22</f>
        <v>0.90476190476190477</v>
      </c>
      <c r="M772" s="16">
        <f t="shared" ca="1" si="61"/>
        <v>374.04538940472651</v>
      </c>
      <c r="N772" s="18">
        <f t="shared" ref="N772:N835" ca="1" si="65">IF(M772&gt;$R$2,1,0)</f>
        <v>1</v>
      </c>
    </row>
    <row r="773" spans="10:14" x14ac:dyDescent="0.25">
      <c r="J773" s="16">
        <f t="shared" ca="1" si="62"/>
        <v>10.859574224232505</v>
      </c>
      <c r="K773" s="16">
        <f t="shared" ca="1" si="63"/>
        <v>41.542163996153306</v>
      </c>
      <c r="L773" s="17">
        <f t="shared" si="64"/>
        <v>0.90476190476190477</v>
      </c>
      <c r="M773" s="16">
        <f t="shared" ca="1" si="61"/>
        <v>408.16543112751685</v>
      </c>
      <c r="N773" s="18">
        <f t="shared" ca="1" si="65"/>
        <v>1</v>
      </c>
    </row>
    <row r="774" spans="10:14" x14ac:dyDescent="0.25">
      <c r="J774" s="16">
        <f t="shared" ca="1" si="62"/>
        <v>5.0955404581164094</v>
      </c>
      <c r="K774" s="16">
        <f t="shared" ca="1" si="63"/>
        <v>25.272878064743683</v>
      </c>
      <c r="L774" s="17">
        <f t="shared" si="64"/>
        <v>0.90476190476190477</v>
      </c>
      <c r="M774" s="16">
        <f t="shared" ca="1" si="61"/>
        <v>116.5143086079495</v>
      </c>
      <c r="N774" s="18">
        <f t="shared" ca="1" si="65"/>
        <v>0</v>
      </c>
    </row>
    <row r="775" spans="10:14" x14ac:dyDescent="0.25">
      <c r="J775" s="16">
        <f t="shared" ca="1" si="62"/>
        <v>3.8154617766369654</v>
      </c>
      <c r="K775" s="16">
        <f t="shared" ca="1" si="63"/>
        <v>30.768479489265662</v>
      </c>
      <c r="L775" s="17">
        <f t="shared" si="64"/>
        <v>0.90476190476190477</v>
      </c>
      <c r="M775" s="16">
        <f t="shared" ca="1" si="61"/>
        <v>106.21539004352859</v>
      </c>
      <c r="N775" s="18">
        <f t="shared" ca="1" si="65"/>
        <v>0</v>
      </c>
    </row>
    <row r="776" spans="10:14" x14ac:dyDescent="0.25">
      <c r="J776" s="16">
        <f t="shared" ca="1" si="62"/>
        <v>6.1650775113580805</v>
      </c>
      <c r="K776" s="16">
        <f t="shared" ca="1" si="63"/>
        <v>24.205245340114608</v>
      </c>
      <c r="L776" s="17">
        <f t="shared" si="64"/>
        <v>0.90476190476190477</v>
      </c>
      <c r="M776" s="16">
        <f t="shared" ca="1" si="61"/>
        <v>135.01509811246027</v>
      </c>
      <c r="N776" s="18">
        <f t="shared" ca="1" si="65"/>
        <v>0</v>
      </c>
    </row>
    <row r="777" spans="10:14" x14ac:dyDescent="0.25">
      <c r="J777" s="16">
        <f t="shared" ca="1" si="62"/>
        <v>5.9312301817222242</v>
      </c>
      <c r="K777" s="16">
        <f t="shared" ca="1" si="63"/>
        <v>41.166210504852728</v>
      </c>
      <c r="L777" s="17">
        <f t="shared" si="64"/>
        <v>0.90476190476190477</v>
      </c>
      <c r="M777" s="16">
        <f t="shared" ca="1" si="61"/>
        <v>220.91233971698793</v>
      </c>
      <c r="N777" s="18">
        <f t="shared" ca="1" si="65"/>
        <v>0</v>
      </c>
    </row>
    <row r="778" spans="10:14" x14ac:dyDescent="0.25">
      <c r="J778" s="16">
        <f t="shared" ca="1" si="62"/>
        <v>5.9907973135922425</v>
      </c>
      <c r="K778" s="16">
        <f t="shared" ca="1" si="63"/>
        <v>39.266761057648701</v>
      </c>
      <c r="L778" s="17">
        <f t="shared" si="64"/>
        <v>0.90476190476190477</v>
      </c>
      <c r="M778" s="16">
        <f t="shared" ca="1" si="61"/>
        <v>212.83547269023697</v>
      </c>
      <c r="N778" s="18">
        <f t="shared" ca="1" si="65"/>
        <v>0</v>
      </c>
    </row>
    <row r="779" spans="10:14" x14ac:dyDescent="0.25">
      <c r="J779" s="16">
        <f t="shared" ca="1" si="62"/>
        <v>8.1357100796383257</v>
      </c>
      <c r="K779" s="16">
        <f t="shared" ca="1" si="63"/>
        <v>26.717842674427946</v>
      </c>
      <c r="L779" s="17">
        <f t="shared" si="64"/>
        <v>0.90476190476190477</v>
      </c>
      <c r="M779" s="16">
        <f t="shared" ca="1" si="61"/>
        <v>196.66684843324543</v>
      </c>
      <c r="N779" s="18">
        <f t="shared" ca="1" si="65"/>
        <v>0</v>
      </c>
    </row>
    <row r="780" spans="10:14" x14ac:dyDescent="0.25">
      <c r="J780" s="16">
        <f t="shared" ca="1" si="62"/>
        <v>5.4301576933326867</v>
      </c>
      <c r="K780" s="16">
        <f t="shared" ca="1" si="63"/>
        <v>26.893987302797186</v>
      </c>
      <c r="L780" s="17">
        <f t="shared" si="64"/>
        <v>0.90476190476190477</v>
      </c>
      <c r="M780" s="16">
        <f t="shared" ca="1" si="61"/>
        <v>132.13015471794469</v>
      </c>
      <c r="N780" s="18">
        <f t="shared" ca="1" si="65"/>
        <v>0</v>
      </c>
    </row>
    <row r="781" spans="10:14" x14ac:dyDescent="0.25">
      <c r="J781" s="16">
        <f t="shared" ca="1" si="62"/>
        <v>14.569369614612798</v>
      </c>
      <c r="K781" s="16">
        <f t="shared" ca="1" si="63"/>
        <v>24.758542933084293</v>
      </c>
      <c r="L781" s="17">
        <f t="shared" si="64"/>
        <v>0.90476190476190477</v>
      </c>
      <c r="M781" s="16">
        <f t="shared" ca="1" si="61"/>
        <v>326.36242376742524</v>
      </c>
      <c r="N781" s="18">
        <f t="shared" ca="1" si="65"/>
        <v>1</v>
      </c>
    </row>
    <row r="782" spans="10:14" x14ac:dyDescent="0.25">
      <c r="J782" s="16">
        <f t="shared" ca="1" si="62"/>
        <v>10.831977369768863</v>
      </c>
      <c r="K782" s="16">
        <f t="shared" ca="1" si="63"/>
        <v>45.135527943886352</v>
      </c>
      <c r="L782" s="17">
        <f t="shared" si="64"/>
        <v>0.90476190476190477</v>
      </c>
      <c r="M782" s="16">
        <f t="shared" ca="1" si="61"/>
        <v>442.34444418829497</v>
      </c>
      <c r="N782" s="18">
        <f t="shared" ca="1" si="65"/>
        <v>1</v>
      </c>
    </row>
    <row r="783" spans="10:14" x14ac:dyDescent="0.25">
      <c r="J783" s="16">
        <f t="shared" ca="1" si="62"/>
        <v>11.190171731834555</v>
      </c>
      <c r="K783" s="16">
        <f t="shared" ca="1" si="63"/>
        <v>44.023328711723821</v>
      </c>
      <c r="L783" s="17">
        <f t="shared" si="64"/>
        <v>0.90476190476190477</v>
      </c>
      <c r="M783" s="16">
        <f t="shared" ca="1" si="61"/>
        <v>445.71159815869794</v>
      </c>
      <c r="N783" s="18">
        <f t="shared" ca="1" si="65"/>
        <v>1</v>
      </c>
    </row>
    <row r="784" spans="10:14" x14ac:dyDescent="0.25">
      <c r="J784" s="16">
        <f t="shared" ca="1" si="62"/>
        <v>13.517984112560201</v>
      </c>
      <c r="K784" s="16">
        <f t="shared" ca="1" si="63"/>
        <v>32.221027142095501</v>
      </c>
      <c r="L784" s="17">
        <f t="shared" si="64"/>
        <v>0.90476190476190477</v>
      </c>
      <c r="M784" s="16">
        <f t="shared" ca="1" si="61"/>
        <v>394.08111080700678</v>
      </c>
      <c r="N784" s="18">
        <f t="shared" ca="1" si="65"/>
        <v>1</v>
      </c>
    </row>
    <row r="785" spans="10:14" x14ac:dyDescent="0.25">
      <c r="J785" s="16">
        <f t="shared" ca="1" si="62"/>
        <v>7.7544150399002447</v>
      </c>
      <c r="K785" s="16">
        <f t="shared" ca="1" si="63"/>
        <v>23.939143054713892</v>
      </c>
      <c r="L785" s="17">
        <f t="shared" si="64"/>
        <v>0.90476190476190477</v>
      </c>
      <c r="M785" s="16">
        <f t="shared" ca="1" si="61"/>
        <v>167.95461752238768</v>
      </c>
      <c r="N785" s="18">
        <f t="shared" ca="1" si="65"/>
        <v>0</v>
      </c>
    </row>
    <row r="786" spans="10:14" x14ac:dyDescent="0.25">
      <c r="J786" s="16">
        <f t="shared" ca="1" si="62"/>
        <v>3.4660828875698502</v>
      </c>
      <c r="K786" s="16">
        <f t="shared" ca="1" si="63"/>
        <v>28.318320790645814</v>
      </c>
      <c r="L786" s="17">
        <f t="shared" si="64"/>
        <v>0.90476190476190477</v>
      </c>
      <c r="M786" s="16">
        <f t="shared" ca="1" si="61"/>
        <v>88.805680706964196</v>
      </c>
      <c r="N786" s="18">
        <f t="shared" ca="1" si="65"/>
        <v>0</v>
      </c>
    </row>
    <row r="787" spans="10:14" x14ac:dyDescent="0.25">
      <c r="J787" s="16">
        <f t="shared" ca="1" si="62"/>
        <v>9.7621971251144011</v>
      </c>
      <c r="K787" s="16">
        <f t="shared" ca="1" si="63"/>
        <v>22.995631346739067</v>
      </c>
      <c r="L787" s="17">
        <f t="shared" si="64"/>
        <v>0.90476190476190477</v>
      </c>
      <c r="M787" s="16">
        <f t="shared" ref="M787:M850" ca="1" si="66">J787*K787*L787</f>
        <v>203.10808753539084</v>
      </c>
      <c r="N787" s="18">
        <f t="shared" ca="1" si="65"/>
        <v>0</v>
      </c>
    </row>
    <row r="788" spans="10:14" x14ac:dyDescent="0.25">
      <c r="J788" s="16">
        <f t="shared" ca="1" si="62"/>
        <v>9.5310090303725179</v>
      </c>
      <c r="K788" s="16">
        <f t="shared" ca="1" si="63"/>
        <v>37.603253771881107</v>
      </c>
      <c r="L788" s="17">
        <f t="shared" si="64"/>
        <v>0.90476190476190477</v>
      </c>
      <c r="M788" s="16">
        <f t="shared" ca="1" si="66"/>
        <v>324.26390829297992</v>
      </c>
      <c r="N788" s="18">
        <f t="shared" ca="1" si="65"/>
        <v>1</v>
      </c>
    </row>
    <row r="789" spans="10:14" x14ac:dyDescent="0.25">
      <c r="J789" s="16">
        <f t="shared" ca="1" si="62"/>
        <v>9.8700280179760309</v>
      </c>
      <c r="K789" s="16">
        <f t="shared" ca="1" si="63"/>
        <v>31.993725787667024</v>
      </c>
      <c r="L789" s="17">
        <f t="shared" si="64"/>
        <v>0.90476190476190477</v>
      </c>
      <c r="M789" s="16">
        <f t="shared" ca="1" si="66"/>
        <v>285.70478231193334</v>
      </c>
      <c r="N789" s="18">
        <f t="shared" ca="1" si="65"/>
        <v>1</v>
      </c>
    </row>
    <row r="790" spans="10:14" x14ac:dyDescent="0.25">
      <c r="J790" s="16">
        <f t="shared" ca="1" si="62"/>
        <v>9.7101528924282334</v>
      </c>
      <c r="K790" s="16">
        <f t="shared" ca="1" si="63"/>
        <v>37.099544364853173</v>
      </c>
      <c r="L790" s="17">
        <f t="shared" si="64"/>
        <v>0.90476190476190477</v>
      </c>
      <c r="M790" s="16">
        <f t="shared" ca="1" si="66"/>
        <v>325.93346249622971</v>
      </c>
      <c r="N790" s="18">
        <f t="shared" ca="1" si="65"/>
        <v>1</v>
      </c>
    </row>
    <row r="791" spans="10:14" x14ac:dyDescent="0.25">
      <c r="J791" s="16">
        <f t="shared" ca="1" si="62"/>
        <v>6.700364467001342</v>
      </c>
      <c r="K791" s="16">
        <f t="shared" ca="1" si="63"/>
        <v>43.834168799844392</v>
      </c>
      <c r="L791" s="17">
        <f t="shared" si="64"/>
        <v>0.90476190476190477</v>
      </c>
      <c r="M791" s="16">
        <f t="shared" ca="1" si="66"/>
        <v>265.73301115587185</v>
      </c>
      <c r="N791" s="18">
        <f t="shared" ca="1" si="65"/>
        <v>1</v>
      </c>
    </row>
    <row r="792" spans="10:14" x14ac:dyDescent="0.25">
      <c r="J792" s="16">
        <f t="shared" ca="1" si="62"/>
        <v>8.5559988218163934</v>
      </c>
      <c r="K792" s="16">
        <f t="shared" ca="1" si="63"/>
        <v>20.031570642462416</v>
      </c>
      <c r="L792" s="17">
        <f t="shared" si="64"/>
        <v>0.90476190476190477</v>
      </c>
      <c r="M792" s="16">
        <f t="shared" ca="1" si="66"/>
        <v>155.06722864308406</v>
      </c>
      <c r="N792" s="18">
        <f t="shared" ca="1" si="65"/>
        <v>0</v>
      </c>
    </row>
    <row r="793" spans="10:14" x14ac:dyDescent="0.25">
      <c r="J793" s="16">
        <f t="shared" ca="1" si="62"/>
        <v>11.071592649686059</v>
      </c>
      <c r="K793" s="16">
        <f t="shared" ca="1" si="63"/>
        <v>21.920309493665016</v>
      </c>
      <c r="L793" s="17">
        <f t="shared" si="64"/>
        <v>0.90476190476190477</v>
      </c>
      <c r="M793" s="16">
        <f t="shared" ca="1" si="66"/>
        <v>219.57914342424749</v>
      </c>
      <c r="N793" s="18">
        <f t="shared" ca="1" si="65"/>
        <v>0</v>
      </c>
    </row>
    <row r="794" spans="10:14" x14ac:dyDescent="0.25">
      <c r="J794" s="16">
        <f t="shared" ca="1" si="62"/>
        <v>11.106005934769064</v>
      </c>
      <c r="K794" s="16">
        <f t="shared" ca="1" si="63"/>
        <v>23.271917673804467</v>
      </c>
      <c r="L794" s="17">
        <f t="shared" si="64"/>
        <v>0.90476190476190477</v>
      </c>
      <c r="M794" s="16">
        <f t="shared" ca="1" si="66"/>
        <v>233.84300286551712</v>
      </c>
      <c r="N794" s="18">
        <f t="shared" ca="1" si="65"/>
        <v>0</v>
      </c>
    </row>
    <row r="795" spans="10:14" x14ac:dyDescent="0.25">
      <c r="J795" s="16">
        <f t="shared" ca="1" si="62"/>
        <v>9.656924124472658</v>
      </c>
      <c r="K795" s="16">
        <f t="shared" ca="1" si="63"/>
        <v>41.050423402889109</v>
      </c>
      <c r="L795" s="17">
        <f t="shared" si="64"/>
        <v>0.90476190476190477</v>
      </c>
      <c r="M795" s="16">
        <f t="shared" ca="1" si="66"/>
        <v>358.66645988115999</v>
      </c>
      <c r="N795" s="18">
        <f t="shared" ca="1" si="65"/>
        <v>1</v>
      </c>
    </row>
    <row r="796" spans="10:14" x14ac:dyDescent="0.25">
      <c r="J796" s="16">
        <f t="shared" ca="1" si="62"/>
        <v>11.520794264075221</v>
      </c>
      <c r="K796" s="16">
        <f t="shared" ca="1" si="63"/>
        <v>44.081909680856</v>
      </c>
      <c r="L796" s="17">
        <f t="shared" si="64"/>
        <v>0.90476190476190477</v>
      </c>
      <c r="M796" s="16">
        <f t="shared" ca="1" si="66"/>
        <v>459.49112532443178</v>
      </c>
      <c r="N796" s="18">
        <f t="shared" ca="1" si="65"/>
        <v>1</v>
      </c>
    </row>
    <row r="797" spans="10:14" x14ac:dyDescent="0.25">
      <c r="J797" s="16">
        <f t="shared" ca="1" si="62"/>
        <v>9.0108479300478486</v>
      </c>
      <c r="K797" s="16">
        <f t="shared" ca="1" si="63"/>
        <v>37.373903384199096</v>
      </c>
      <c r="L797" s="17">
        <f t="shared" si="64"/>
        <v>0.90476190476190477</v>
      </c>
      <c r="M797" s="16">
        <f t="shared" ca="1" si="66"/>
        <v>304.69717328566929</v>
      </c>
      <c r="N797" s="18">
        <f t="shared" ca="1" si="65"/>
        <v>1</v>
      </c>
    </row>
    <row r="798" spans="10:14" x14ac:dyDescent="0.25">
      <c r="J798" s="16">
        <f t="shared" ca="1" si="62"/>
        <v>10.874070843495678</v>
      </c>
      <c r="K798" s="16">
        <f t="shared" ca="1" si="63"/>
        <v>40.917148885359268</v>
      </c>
      <c r="L798" s="17">
        <f t="shared" si="64"/>
        <v>0.90476190476190477</v>
      </c>
      <c r="M798" s="16">
        <f t="shared" ca="1" si="66"/>
        <v>402.56112086532767</v>
      </c>
      <c r="N798" s="18">
        <f t="shared" ca="1" si="65"/>
        <v>1</v>
      </c>
    </row>
    <row r="799" spans="10:14" x14ac:dyDescent="0.25">
      <c r="J799" s="16">
        <f t="shared" ca="1" si="62"/>
        <v>6.1050286332225392</v>
      </c>
      <c r="K799" s="16">
        <f t="shared" ca="1" si="63"/>
        <v>22.045753267924464</v>
      </c>
      <c r="L799" s="17">
        <f t="shared" si="64"/>
        <v>0.90476190476190477</v>
      </c>
      <c r="M799" s="16">
        <f t="shared" ca="1" si="66"/>
        <v>121.77186399481552</v>
      </c>
      <c r="N799" s="18">
        <f t="shared" ca="1" si="65"/>
        <v>0</v>
      </c>
    </row>
    <row r="800" spans="10:14" x14ac:dyDescent="0.25">
      <c r="J800" s="16">
        <f t="shared" ca="1" si="62"/>
        <v>8.8199504713252708</v>
      </c>
      <c r="K800" s="16">
        <f t="shared" ca="1" si="63"/>
        <v>30.662041332115628</v>
      </c>
      <c r="L800" s="17">
        <f t="shared" si="64"/>
        <v>0.90476190476190477</v>
      </c>
      <c r="M800" s="16">
        <f t="shared" ca="1" si="66"/>
        <v>244.68171581337023</v>
      </c>
      <c r="N800" s="18">
        <f t="shared" ca="1" si="65"/>
        <v>1</v>
      </c>
    </row>
    <row r="801" spans="10:14" x14ac:dyDescent="0.25">
      <c r="J801" s="16">
        <f t="shared" ca="1" si="62"/>
        <v>8.4386614395255979</v>
      </c>
      <c r="K801" s="16">
        <f t="shared" ca="1" si="63"/>
        <v>38.65029412080068</v>
      </c>
      <c r="L801" s="17">
        <f t="shared" si="64"/>
        <v>0.90476190476190477</v>
      </c>
      <c r="M801" s="16">
        <f t="shared" ca="1" si="66"/>
        <v>295.09419932604521</v>
      </c>
      <c r="N801" s="18">
        <f t="shared" ca="1" si="65"/>
        <v>1</v>
      </c>
    </row>
    <row r="802" spans="10:14" x14ac:dyDescent="0.25">
      <c r="J802" s="16">
        <f t="shared" ca="1" si="62"/>
        <v>8.6634984118555938</v>
      </c>
      <c r="K802" s="16">
        <f t="shared" ca="1" si="63"/>
        <v>45.194257767645084</v>
      </c>
      <c r="L802" s="17">
        <f t="shared" si="64"/>
        <v>0.90476190476190477</v>
      </c>
      <c r="M802" s="16">
        <f t="shared" ca="1" si="66"/>
        <v>354.25082035736784</v>
      </c>
      <c r="N802" s="18">
        <f t="shared" ca="1" si="65"/>
        <v>1</v>
      </c>
    </row>
    <row r="803" spans="10:14" x14ac:dyDescent="0.25">
      <c r="J803" s="16">
        <f t="shared" ca="1" si="62"/>
        <v>12.111647261980055</v>
      </c>
      <c r="K803" s="16">
        <f t="shared" ca="1" si="63"/>
        <v>40.494648286090246</v>
      </c>
      <c r="L803" s="17">
        <f t="shared" si="64"/>
        <v>0.90476190476190477</v>
      </c>
      <c r="M803" s="16">
        <f t="shared" ca="1" si="66"/>
        <v>443.74671546392074</v>
      </c>
      <c r="N803" s="18">
        <f t="shared" ca="1" si="65"/>
        <v>1</v>
      </c>
    </row>
    <row r="804" spans="10:14" x14ac:dyDescent="0.25">
      <c r="J804" s="16">
        <f t="shared" ca="1" si="62"/>
        <v>13.40725708350643</v>
      </c>
      <c r="K804" s="16">
        <f t="shared" ca="1" si="63"/>
        <v>45.808141324231627</v>
      </c>
      <c r="L804" s="17">
        <f t="shared" si="64"/>
        <v>0.90476190476190477</v>
      </c>
      <c r="M804" s="16">
        <f t="shared" ca="1" si="66"/>
        <v>555.66995322760931</v>
      </c>
      <c r="N804" s="18">
        <f t="shared" ca="1" si="65"/>
        <v>1</v>
      </c>
    </row>
    <row r="805" spans="10:14" x14ac:dyDescent="0.25">
      <c r="J805" s="16">
        <f t="shared" ca="1" si="62"/>
        <v>13.028415293348672</v>
      </c>
      <c r="K805" s="16">
        <f t="shared" ca="1" si="63"/>
        <v>28.189101550271594</v>
      </c>
      <c r="L805" s="17">
        <f t="shared" si="64"/>
        <v>0.90476190476190477</v>
      </c>
      <c r="M805" s="16">
        <f t="shared" ca="1" si="66"/>
        <v>332.2822434820489</v>
      </c>
      <c r="N805" s="18">
        <f t="shared" ca="1" si="65"/>
        <v>1</v>
      </c>
    </row>
    <row r="806" spans="10:14" x14ac:dyDescent="0.25">
      <c r="J806" s="16">
        <f t="shared" ca="1" si="62"/>
        <v>6.2951482723401098</v>
      </c>
      <c r="K806" s="16">
        <f t="shared" ca="1" si="63"/>
        <v>32.81117043213618</v>
      </c>
      <c r="L806" s="17">
        <f t="shared" si="64"/>
        <v>0.90476190476190477</v>
      </c>
      <c r="M806" s="16">
        <f t="shared" ca="1" si="66"/>
        <v>186.87964163462192</v>
      </c>
      <c r="N806" s="18">
        <f t="shared" ca="1" si="65"/>
        <v>0</v>
      </c>
    </row>
    <row r="807" spans="10:14" x14ac:dyDescent="0.25">
      <c r="J807" s="16">
        <f t="shared" ca="1" si="62"/>
        <v>14.259875496544604</v>
      </c>
      <c r="K807" s="16">
        <f t="shared" ca="1" si="63"/>
        <v>30.707459841583418</v>
      </c>
      <c r="L807" s="17">
        <f t="shared" si="64"/>
        <v>0.90476190476190477</v>
      </c>
      <c r="M807" s="16">
        <f t="shared" ca="1" si="66"/>
        <v>396.18126328411114</v>
      </c>
      <c r="N807" s="18">
        <f t="shared" ca="1" si="65"/>
        <v>1</v>
      </c>
    </row>
    <row r="808" spans="10:14" x14ac:dyDescent="0.25">
      <c r="J808" s="16">
        <f t="shared" ca="1" si="62"/>
        <v>13.030177370818986</v>
      </c>
      <c r="K808" s="16">
        <f t="shared" ca="1" si="63"/>
        <v>35.171966956350133</v>
      </c>
      <c r="L808" s="17">
        <f t="shared" si="64"/>
        <v>0.90476190476190477</v>
      </c>
      <c r="M808" s="16">
        <f t="shared" ca="1" si="66"/>
        <v>414.64963764355747</v>
      </c>
      <c r="N808" s="18">
        <f t="shared" ca="1" si="65"/>
        <v>1</v>
      </c>
    </row>
    <row r="809" spans="10:14" x14ac:dyDescent="0.25">
      <c r="J809" s="16">
        <f t="shared" ca="1" si="62"/>
        <v>8.9200360861995165</v>
      </c>
      <c r="K809" s="16">
        <f t="shared" ca="1" si="63"/>
        <v>28.462175877654168</v>
      </c>
      <c r="L809" s="17">
        <f t="shared" si="64"/>
        <v>0.90476190476190477</v>
      </c>
      <c r="M809" s="16">
        <f t="shared" ca="1" si="66"/>
        <v>229.70424202324853</v>
      </c>
      <c r="N809" s="18">
        <f t="shared" ca="1" si="65"/>
        <v>0</v>
      </c>
    </row>
    <row r="810" spans="10:14" x14ac:dyDescent="0.25">
      <c r="J810" s="16">
        <f t="shared" ca="1" si="62"/>
        <v>13.453745578085428</v>
      </c>
      <c r="K810" s="16">
        <f t="shared" ca="1" si="63"/>
        <v>38.697237675033577</v>
      </c>
      <c r="L810" s="17">
        <f t="shared" si="64"/>
        <v>0.90476190476190477</v>
      </c>
      <c r="M810" s="16">
        <f t="shared" ca="1" si="66"/>
        <v>471.03966737321298</v>
      </c>
      <c r="N810" s="18">
        <f t="shared" ca="1" si="65"/>
        <v>1</v>
      </c>
    </row>
    <row r="811" spans="10:14" x14ac:dyDescent="0.25">
      <c r="J811" s="16">
        <f t="shared" ca="1" si="62"/>
        <v>12.265374677476945</v>
      </c>
      <c r="K811" s="16">
        <f t="shared" ca="1" si="63"/>
        <v>24.304380473888827</v>
      </c>
      <c r="L811" s="17">
        <f t="shared" si="64"/>
        <v>0.90476190476190477</v>
      </c>
      <c r="M811" s="16">
        <f t="shared" ca="1" si="66"/>
        <v>269.7116344527534</v>
      </c>
      <c r="N811" s="18">
        <f t="shared" ca="1" si="65"/>
        <v>1</v>
      </c>
    </row>
    <row r="812" spans="10:14" x14ac:dyDescent="0.25">
      <c r="J812" s="16">
        <f t="shared" ca="1" si="62"/>
        <v>5.1459446390052879</v>
      </c>
      <c r="K812" s="16">
        <f t="shared" ca="1" si="63"/>
        <v>29.010473292888822</v>
      </c>
      <c r="L812" s="17">
        <f t="shared" si="64"/>
        <v>0.90476190476190477</v>
      </c>
      <c r="M812" s="16">
        <f t="shared" ca="1" si="66"/>
        <v>135.0685476578285</v>
      </c>
      <c r="N812" s="18">
        <f t="shared" ca="1" si="65"/>
        <v>0</v>
      </c>
    </row>
    <row r="813" spans="10:14" x14ac:dyDescent="0.25">
      <c r="J813" s="16">
        <f t="shared" ca="1" si="62"/>
        <v>9.8685435066215579</v>
      </c>
      <c r="K813" s="16">
        <f t="shared" ca="1" si="63"/>
        <v>36.327703978590719</v>
      </c>
      <c r="L813" s="17">
        <f t="shared" si="64"/>
        <v>0.90476190476190477</v>
      </c>
      <c r="M813" s="16">
        <f t="shared" ca="1" si="66"/>
        <v>324.35852461711619</v>
      </c>
      <c r="N813" s="18">
        <f t="shared" ca="1" si="65"/>
        <v>1</v>
      </c>
    </row>
    <row r="814" spans="10:14" x14ac:dyDescent="0.25">
      <c r="J814" s="16">
        <f t="shared" ca="1" si="62"/>
        <v>5.1868304310433571</v>
      </c>
      <c r="K814" s="16">
        <f t="shared" ca="1" si="63"/>
        <v>28.574471128175823</v>
      </c>
      <c r="L814" s="17">
        <f t="shared" si="64"/>
        <v>0.90476190476190477</v>
      </c>
      <c r="M814" s="16">
        <f t="shared" ca="1" si="66"/>
        <v>134.09560912253576</v>
      </c>
      <c r="N814" s="18">
        <f t="shared" ca="1" si="65"/>
        <v>0</v>
      </c>
    </row>
    <row r="815" spans="10:14" x14ac:dyDescent="0.25">
      <c r="J815" s="16">
        <f t="shared" ca="1" si="62"/>
        <v>8.6057009587698019</v>
      </c>
      <c r="K815" s="16">
        <f t="shared" ca="1" si="63"/>
        <v>36.205039412908235</v>
      </c>
      <c r="L815" s="17">
        <f t="shared" si="64"/>
        <v>0.90476190476190477</v>
      </c>
      <c r="M815" s="16">
        <f t="shared" ca="1" si="66"/>
        <v>281.89643358910928</v>
      </c>
      <c r="N815" s="18">
        <f t="shared" ca="1" si="65"/>
        <v>1</v>
      </c>
    </row>
    <row r="816" spans="10:14" x14ac:dyDescent="0.25">
      <c r="J816" s="16">
        <f t="shared" ca="1" si="62"/>
        <v>10.276574069475382</v>
      </c>
      <c r="K816" s="16">
        <f t="shared" ca="1" si="63"/>
        <v>25.980951403223166</v>
      </c>
      <c r="L816" s="17">
        <f t="shared" si="64"/>
        <v>0.90476190476190477</v>
      </c>
      <c r="M816" s="16">
        <f t="shared" ca="1" si="66"/>
        <v>241.56705992012385</v>
      </c>
      <c r="N816" s="18">
        <f t="shared" ca="1" si="65"/>
        <v>1</v>
      </c>
    </row>
    <row r="817" spans="10:14" x14ac:dyDescent="0.25">
      <c r="J817" s="16">
        <f t="shared" ca="1" si="62"/>
        <v>10.976472244036575</v>
      </c>
      <c r="K817" s="16">
        <f t="shared" ca="1" si="63"/>
        <v>33.744009506566208</v>
      </c>
      <c r="L817" s="17">
        <f t="shared" si="64"/>
        <v>0.90476190476190477</v>
      </c>
      <c r="M817" s="16">
        <f t="shared" ca="1" si="66"/>
        <v>335.11492815596552</v>
      </c>
      <c r="N817" s="18">
        <f t="shared" ca="1" si="65"/>
        <v>1</v>
      </c>
    </row>
    <row r="818" spans="10:14" x14ac:dyDescent="0.25">
      <c r="J818" s="16">
        <f t="shared" ca="1" si="62"/>
        <v>7.9305667938263378</v>
      </c>
      <c r="K818" s="16">
        <f t="shared" ca="1" si="63"/>
        <v>30.01375617492852</v>
      </c>
      <c r="L818" s="17">
        <f t="shared" si="64"/>
        <v>0.90476190476190477</v>
      </c>
      <c r="M818" s="16">
        <f t="shared" ca="1" si="66"/>
        <v>215.35694588089896</v>
      </c>
      <c r="N818" s="18">
        <f t="shared" ca="1" si="65"/>
        <v>0</v>
      </c>
    </row>
    <row r="819" spans="10:14" x14ac:dyDescent="0.25">
      <c r="J819" s="16">
        <f t="shared" ca="1" si="62"/>
        <v>6.4017210407691207</v>
      </c>
      <c r="K819" s="16">
        <f t="shared" ca="1" si="63"/>
        <v>42.121676168485749</v>
      </c>
      <c r="L819" s="17">
        <f t="shared" si="64"/>
        <v>0.90476190476190477</v>
      </c>
      <c r="M819" s="16">
        <f t="shared" ca="1" si="66"/>
        <v>243.9701519716624</v>
      </c>
      <c r="N819" s="18">
        <f t="shared" ca="1" si="65"/>
        <v>1</v>
      </c>
    </row>
    <row r="820" spans="10:14" x14ac:dyDescent="0.25">
      <c r="J820" s="16">
        <f t="shared" ca="1" si="62"/>
        <v>4.5733938935473786</v>
      </c>
      <c r="K820" s="16">
        <f t="shared" ca="1" si="63"/>
        <v>20.63917252011192</v>
      </c>
      <c r="L820" s="17">
        <f t="shared" si="64"/>
        <v>0.90476190476190477</v>
      </c>
      <c r="M820" s="16">
        <f t="shared" ca="1" si="66"/>
        <v>85.401440278841136</v>
      </c>
      <c r="N820" s="18">
        <f t="shared" ca="1" si="65"/>
        <v>0</v>
      </c>
    </row>
    <row r="821" spans="10:14" x14ac:dyDescent="0.25">
      <c r="J821" s="16">
        <f t="shared" ca="1" si="62"/>
        <v>9.0101630489150786</v>
      </c>
      <c r="K821" s="16">
        <f t="shared" ca="1" si="63"/>
        <v>27.944333972133279</v>
      </c>
      <c r="L821" s="17">
        <f t="shared" si="64"/>
        <v>0.90476190476190477</v>
      </c>
      <c r="M821" s="16">
        <f t="shared" ca="1" si="66"/>
        <v>227.8036715363283</v>
      </c>
      <c r="N821" s="18">
        <f t="shared" ca="1" si="65"/>
        <v>0</v>
      </c>
    </row>
    <row r="822" spans="10:14" x14ac:dyDescent="0.25">
      <c r="J822" s="16">
        <f t="shared" ca="1" si="62"/>
        <v>10.804602076264253</v>
      </c>
      <c r="K822" s="16">
        <f t="shared" ca="1" si="63"/>
        <v>28.47355316764525</v>
      </c>
      <c r="L822" s="17">
        <f t="shared" si="64"/>
        <v>0.90476190476190477</v>
      </c>
      <c r="M822" s="16">
        <f t="shared" ca="1" si="66"/>
        <v>278.34584865721183</v>
      </c>
      <c r="N822" s="18">
        <f t="shared" ca="1" si="65"/>
        <v>1</v>
      </c>
    </row>
    <row r="823" spans="10:14" x14ac:dyDescent="0.25">
      <c r="J823" s="16">
        <f t="shared" ca="1" si="62"/>
        <v>5.6079372771158615</v>
      </c>
      <c r="K823" s="16">
        <f t="shared" ca="1" si="63"/>
        <v>21.300635019546192</v>
      </c>
      <c r="L823" s="17">
        <f t="shared" si="64"/>
        <v>0.90476190476190477</v>
      </c>
      <c r="M823" s="16">
        <f t="shared" ca="1" si="66"/>
        <v>108.07618466165239</v>
      </c>
      <c r="N823" s="18">
        <f t="shared" ca="1" si="65"/>
        <v>0</v>
      </c>
    </row>
    <row r="824" spans="10:14" x14ac:dyDescent="0.25">
      <c r="J824" s="16">
        <f t="shared" ca="1" si="62"/>
        <v>3.755420443003989</v>
      </c>
      <c r="K824" s="16">
        <f t="shared" ca="1" si="63"/>
        <v>31.66812175936527</v>
      </c>
      <c r="L824" s="17">
        <f t="shared" si="64"/>
        <v>0.90476190476190477</v>
      </c>
      <c r="M824" s="16">
        <f t="shared" ca="1" si="66"/>
        <v>107.600720242216</v>
      </c>
      <c r="N824" s="18">
        <f t="shared" ca="1" si="65"/>
        <v>0</v>
      </c>
    </row>
    <row r="825" spans="10:14" x14ac:dyDescent="0.25">
      <c r="J825" s="16">
        <f t="shared" ca="1" si="62"/>
        <v>12.611358678596199</v>
      </c>
      <c r="K825" s="16">
        <f t="shared" ca="1" si="63"/>
        <v>44.808087704997014</v>
      </c>
      <c r="L825" s="17">
        <f t="shared" si="64"/>
        <v>0.90476190476190477</v>
      </c>
      <c r="M825" s="16">
        <f t="shared" ca="1" si="66"/>
        <v>511.27268805926485</v>
      </c>
      <c r="N825" s="18">
        <f t="shared" ca="1" si="65"/>
        <v>1</v>
      </c>
    </row>
    <row r="826" spans="10:14" x14ac:dyDescent="0.25">
      <c r="J826" s="16">
        <f t="shared" ca="1" si="62"/>
        <v>7.3172169723250908</v>
      </c>
      <c r="K826" s="16">
        <f t="shared" ca="1" si="63"/>
        <v>33.764750200719334</v>
      </c>
      <c r="L826" s="17">
        <f t="shared" si="64"/>
        <v>0.90476190476190477</v>
      </c>
      <c r="M826" s="16">
        <f t="shared" ca="1" si="66"/>
        <v>223.53409816501858</v>
      </c>
      <c r="N826" s="18">
        <f t="shared" ca="1" si="65"/>
        <v>0</v>
      </c>
    </row>
    <row r="827" spans="10:14" x14ac:dyDescent="0.25">
      <c r="J827" s="16">
        <f t="shared" ca="1" si="62"/>
        <v>11.771714518844119</v>
      </c>
      <c r="K827" s="16">
        <f t="shared" ca="1" si="63"/>
        <v>44.703010825772424</v>
      </c>
      <c r="L827" s="17">
        <f t="shared" si="64"/>
        <v>0.90476190476190477</v>
      </c>
      <c r="M827" s="16">
        <f t="shared" ca="1" si="66"/>
        <v>476.11383570962045</v>
      </c>
      <c r="N827" s="18">
        <f t="shared" ca="1" si="65"/>
        <v>1</v>
      </c>
    </row>
    <row r="828" spans="10:14" x14ac:dyDescent="0.25">
      <c r="J828" s="16">
        <f t="shared" ca="1" si="62"/>
        <v>5.3953552492261982</v>
      </c>
      <c r="K828" s="16">
        <f t="shared" ca="1" si="63"/>
        <v>24.618163398042242</v>
      </c>
      <c r="L828" s="17">
        <f t="shared" si="64"/>
        <v>0.90476190476190477</v>
      </c>
      <c r="M828" s="16">
        <f t="shared" ca="1" si="66"/>
        <v>120.17385739060829</v>
      </c>
      <c r="N828" s="18">
        <f t="shared" ca="1" si="65"/>
        <v>0</v>
      </c>
    </row>
    <row r="829" spans="10:14" x14ac:dyDescent="0.25">
      <c r="J829" s="16">
        <f t="shared" ca="1" si="62"/>
        <v>6.928838220892005</v>
      </c>
      <c r="K829" s="16">
        <f t="shared" ca="1" si="63"/>
        <v>42.375629088462965</v>
      </c>
      <c r="L829" s="17">
        <f t="shared" si="64"/>
        <v>0.90476190476190477</v>
      </c>
      <c r="M829" s="16">
        <f t="shared" ca="1" si="66"/>
        <v>265.65065194224854</v>
      </c>
      <c r="N829" s="18">
        <f t="shared" ca="1" si="65"/>
        <v>1</v>
      </c>
    </row>
    <row r="830" spans="10:14" x14ac:dyDescent="0.25">
      <c r="J830" s="16">
        <f t="shared" ca="1" si="62"/>
        <v>6.0103971810674937</v>
      </c>
      <c r="K830" s="16">
        <f t="shared" ca="1" si="63"/>
        <v>37.366972712327275</v>
      </c>
      <c r="L830" s="17">
        <f t="shared" si="64"/>
        <v>0.90476190476190477</v>
      </c>
      <c r="M830" s="16">
        <f t="shared" ca="1" si="66"/>
        <v>203.20079055470279</v>
      </c>
      <c r="N830" s="18">
        <f t="shared" ca="1" si="65"/>
        <v>0</v>
      </c>
    </row>
    <row r="831" spans="10:14" x14ac:dyDescent="0.25">
      <c r="J831" s="16">
        <f t="shared" ca="1" si="62"/>
        <v>5.3158913272592523</v>
      </c>
      <c r="K831" s="16">
        <f t="shared" ca="1" si="63"/>
        <v>26.32092145672928</v>
      </c>
      <c r="L831" s="17">
        <f t="shared" si="64"/>
        <v>0.90476190476190477</v>
      </c>
      <c r="M831" s="16">
        <f t="shared" ca="1" si="66"/>
        <v>126.59352399279446</v>
      </c>
      <c r="N831" s="18">
        <f t="shared" ca="1" si="65"/>
        <v>0</v>
      </c>
    </row>
    <row r="832" spans="10:14" x14ac:dyDescent="0.25">
      <c r="J832" s="16">
        <f t="shared" ca="1" si="62"/>
        <v>9.5089015620892869</v>
      </c>
      <c r="K832" s="16">
        <f t="shared" ca="1" si="63"/>
        <v>43.628093062988199</v>
      </c>
      <c r="L832" s="17">
        <f t="shared" si="64"/>
        <v>0.90476190476190477</v>
      </c>
      <c r="M832" s="16">
        <f t="shared" ca="1" si="66"/>
        <v>375.3452192035657</v>
      </c>
      <c r="N832" s="18">
        <f t="shared" ca="1" si="65"/>
        <v>1</v>
      </c>
    </row>
    <row r="833" spans="10:14" x14ac:dyDescent="0.25">
      <c r="J833" s="16">
        <f t="shared" ca="1" si="62"/>
        <v>7.2434964690920323</v>
      </c>
      <c r="K833" s="16">
        <f t="shared" ca="1" si="63"/>
        <v>24.926831730062254</v>
      </c>
      <c r="L833" s="17">
        <f t="shared" si="64"/>
        <v>0.90476190476190477</v>
      </c>
      <c r="M833" s="16">
        <f t="shared" ca="1" si="66"/>
        <v>163.36147308689459</v>
      </c>
      <c r="N833" s="18">
        <f t="shared" ca="1" si="65"/>
        <v>0</v>
      </c>
    </row>
    <row r="834" spans="10:14" x14ac:dyDescent="0.25">
      <c r="J834" s="16">
        <f t="shared" ca="1" si="62"/>
        <v>4.1790564415108289</v>
      </c>
      <c r="K834" s="16">
        <f t="shared" ca="1" si="63"/>
        <v>43.096819663513578</v>
      </c>
      <c r="L834" s="17">
        <f t="shared" si="64"/>
        <v>0.90476190476190477</v>
      </c>
      <c r="M834" s="16">
        <f t="shared" ca="1" si="66"/>
        <v>162.9512759354906</v>
      </c>
      <c r="N834" s="18">
        <f t="shared" ca="1" si="65"/>
        <v>0</v>
      </c>
    </row>
    <row r="835" spans="10:14" x14ac:dyDescent="0.25">
      <c r="J835" s="16">
        <f t="shared" ca="1" si="62"/>
        <v>3.358914482706044</v>
      </c>
      <c r="K835" s="16">
        <f t="shared" ca="1" si="63"/>
        <v>20.184593791999433</v>
      </c>
      <c r="L835" s="17">
        <f t="shared" si="64"/>
        <v>0.90476190476190477</v>
      </c>
      <c r="M835" s="16">
        <f t="shared" ca="1" si="66"/>
        <v>61.341341137820123</v>
      </c>
      <c r="N835" s="18">
        <f t="shared" ca="1" si="65"/>
        <v>0</v>
      </c>
    </row>
    <row r="836" spans="10:14" x14ac:dyDescent="0.25">
      <c r="J836" s="16">
        <f t="shared" ref="J836:J899" ca="1" si="67">$D$2*(-LN(1-RAND()))^(1/$D$3)</f>
        <v>7.3862896575902184</v>
      </c>
      <c r="K836" s="16">
        <f t="shared" ref="K836:K899" ca="1" si="68">RAND()*($H$3-$H$2)+$H$2</f>
        <v>41.394465377796649</v>
      </c>
      <c r="L836" s="17">
        <f t="shared" ref="L836:L899" si="69">$D$22</f>
        <v>0.90476190476190477</v>
      </c>
      <c r="M836" s="16">
        <f t="shared" ca="1" si="66"/>
        <v>276.63231992992473</v>
      </c>
      <c r="N836" s="18">
        <f t="shared" ref="N836:N899" ca="1" si="70">IF(M836&gt;$R$2,1,0)</f>
        <v>1</v>
      </c>
    </row>
    <row r="837" spans="10:14" x14ac:dyDescent="0.25">
      <c r="J837" s="16">
        <f t="shared" ca="1" si="67"/>
        <v>3.435218082033487</v>
      </c>
      <c r="K837" s="16">
        <f t="shared" ca="1" si="68"/>
        <v>36.163691614079475</v>
      </c>
      <c r="L837" s="17">
        <f t="shared" si="69"/>
        <v>0.90476190476190477</v>
      </c>
      <c r="M837" s="16">
        <f t="shared" ca="1" si="66"/>
        <v>112.39872283664778</v>
      </c>
      <c r="N837" s="18">
        <f t="shared" ca="1" si="70"/>
        <v>0</v>
      </c>
    </row>
    <row r="838" spans="10:14" x14ac:dyDescent="0.25">
      <c r="J838" s="16">
        <f t="shared" ca="1" si="67"/>
        <v>5.233174138006615</v>
      </c>
      <c r="K838" s="16">
        <f t="shared" ca="1" si="68"/>
        <v>21.84388505246714</v>
      </c>
      <c r="L838" s="17">
        <f t="shared" si="69"/>
        <v>0.90476190476190477</v>
      </c>
      <c r="M838" s="16">
        <f t="shared" ca="1" si="66"/>
        <v>103.42591582252599</v>
      </c>
      <c r="N838" s="18">
        <f t="shared" ca="1" si="70"/>
        <v>0</v>
      </c>
    </row>
    <row r="839" spans="10:14" x14ac:dyDescent="0.25">
      <c r="J839" s="16">
        <f t="shared" ca="1" si="67"/>
        <v>12.793640659576354</v>
      </c>
      <c r="K839" s="16">
        <f t="shared" ca="1" si="68"/>
        <v>20.915115865264514</v>
      </c>
      <c r="L839" s="17">
        <f t="shared" si="69"/>
        <v>0.90476190476190477</v>
      </c>
      <c r="M839" s="16">
        <f t="shared" ca="1" si="66"/>
        <v>242.09662180658918</v>
      </c>
      <c r="N839" s="18">
        <f t="shared" ca="1" si="70"/>
        <v>1</v>
      </c>
    </row>
    <row r="840" spans="10:14" x14ac:dyDescent="0.25">
      <c r="J840" s="16">
        <f t="shared" ca="1" si="67"/>
        <v>12.152666342770619</v>
      </c>
      <c r="K840" s="16">
        <f t="shared" ca="1" si="68"/>
        <v>32.821741688911075</v>
      </c>
      <c r="L840" s="17">
        <f t="shared" si="69"/>
        <v>0.90476190476190477</v>
      </c>
      <c r="M840" s="16">
        <f t="shared" ca="1" si="66"/>
        <v>360.88389691166083</v>
      </c>
      <c r="N840" s="18">
        <f t="shared" ca="1" si="70"/>
        <v>1</v>
      </c>
    </row>
    <row r="841" spans="10:14" x14ac:dyDescent="0.25">
      <c r="J841" s="16">
        <f t="shared" ca="1" si="67"/>
        <v>12.425540894760617</v>
      </c>
      <c r="K841" s="16">
        <f t="shared" ca="1" si="68"/>
        <v>29.376043130114141</v>
      </c>
      <c r="L841" s="17">
        <f t="shared" si="69"/>
        <v>0.90476190476190477</v>
      </c>
      <c r="M841" s="16">
        <f t="shared" ca="1" si="66"/>
        <v>330.25006093096255</v>
      </c>
      <c r="N841" s="18">
        <f t="shared" ca="1" si="70"/>
        <v>1</v>
      </c>
    </row>
    <row r="842" spans="10:14" x14ac:dyDescent="0.25">
      <c r="J842" s="16">
        <f t="shared" ca="1" si="67"/>
        <v>8.0266224825551671</v>
      </c>
      <c r="K842" s="16">
        <f t="shared" ca="1" si="68"/>
        <v>22.511040772724783</v>
      </c>
      <c r="L842" s="17">
        <f t="shared" si="69"/>
        <v>0.90476190476190477</v>
      </c>
      <c r="M842" s="16">
        <f t="shared" ca="1" si="66"/>
        <v>163.47928064139558</v>
      </c>
      <c r="N842" s="18">
        <f t="shared" ca="1" si="70"/>
        <v>0</v>
      </c>
    </row>
    <row r="843" spans="10:14" x14ac:dyDescent="0.25">
      <c r="J843" s="16">
        <f t="shared" ca="1" si="67"/>
        <v>6.348164754860206</v>
      </c>
      <c r="K843" s="16">
        <f t="shared" ca="1" si="68"/>
        <v>32.013164090574705</v>
      </c>
      <c r="L843" s="17">
        <f t="shared" si="69"/>
        <v>0.90476190476190477</v>
      </c>
      <c r="M843" s="16">
        <f t="shared" ca="1" si="66"/>
        <v>183.87009330740534</v>
      </c>
      <c r="N843" s="18">
        <f t="shared" ca="1" si="70"/>
        <v>0</v>
      </c>
    </row>
    <row r="844" spans="10:14" x14ac:dyDescent="0.25">
      <c r="J844" s="16">
        <f t="shared" ca="1" si="67"/>
        <v>6.6094972673900321</v>
      </c>
      <c r="K844" s="16">
        <f t="shared" ca="1" si="68"/>
        <v>26.185913376860846</v>
      </c>
      <c r="L844" s="17">
        <f t="shared" si="69"/>
        <v>0.90476190476190477</v>
      </c>
      <c r="M844" s="16">
        <f t="shared" ca="1" si="66"/>
        <v>156.59232072671443</v>
      </c>
      <c r="N844" s="18">
        <f t="shared" ca="1" si="70"/>
        <v>0</v>
      </c>
    </row>
    <row r="845" spans="10:14" x14ac:dyDescent="0.25">
      <c r="J845" s="16">
        <f t="shared" ca="1" si="67"/>
        <v>6.0540819338244756</v>
      </c>
      <c r="K845" s="16">
        <f t="shared" ca="1" si="68"/>
        <v>26.497204966620224</v>
      </c>
      <c r="L845" s="17">
        <f t="shared" si="69"/>
        <v>0.90476190476190477</v>
      </c>
      <c r="M845" s="16">
        <f t="shared" ca="1" si="66"/>
        <v>145.13851180094923</v>
      </c>
      <c r="N845" s="18">
        <f t="shared" ca="1" si="70"/>
        <v>0</v>
      </c>
    </row>
    <row r="846" spans="10:14" x14ac:dyDescent="0.25">
      <c r="J846" s="16">
        <f t="shared" ca="1" si="67"/>
        <v>6.8660850779253533</v>
      </c>
      <c r="K846" s="16">
        <f t="shared" ca="1" si="68"/>
        <v>30.142034696532122</v>
      </c>
      <c r="L846" s="17">
        <f t="shared" si="69"/>
        <v>0.90476190476190477</v>
      </c>
      <c r="M846" s="16">
        <f t="shared" ca="1" si="66"/>
        <v>187.24751039596103</v>
      </c>
      <c r="N846" s="18">
        <f t="shared" ca="1" si="70"/>
        <v>0</v>
      </c>
    </row>
    <row r="847" spans="10:14" x14ac:dyDescent="0.25">
      <c r="J847" s="16">
        <f t="shared" ca="1" si="67"/>
        <v>9.5160158567279129</v>
      </c>
      <c r="K847" s="16">
        <f t="shared" ca="1" si="68"/>
        <v>22.025867361314404</v>
      </c>
      <c r="L847" s="17">
        <f t="shared" si="69"/>
        <v>0.90476190476190477</v>
      </c>
      <c r="M847" s="16">
        <f t="shared" ca="1" si="66"/>
        <v>189.63674087145807</v>
      </c>
      <c r="N847" s="18">
        <f t="shared" ca="1" si="70"/>
        <v>0</v>
      </c>
    </row>
    <row r="848" spans="10:14" x14ac:dyDescent="0.25">
      <c r="J848" s="16">
        <f t="shared" ca="1" si="67"/>
        <v>7.6604730054867867</v>
      </c>
      <c r="K848" s="16">
        <f t="shared" ca="1" si="68"/>
        <v>28.082127792683774</v>
      </c>
      <c r="L848" s="17">
        <f t="shared" si="69"/>
        <v>0.90476190476190477</v>
      </c>
      <c r="M848" s="16">
        <f t="shared" ca="1" si="66"/>
        <v>194.63453599796199</v>
      </c>
      <c r="N848" s="18">
        <f t="shared" ca="1" si="70"/>
        <v>0</v>
      </c>
    </row>
    <row r="849" spans="10:14" x14ac:dyDescent="0.25">
      <c r="J849" s="16">
        <f t="shared" ca="1" si="67"/>
        <v>13.881510921992344</v>
      </c>
      <c r="K849" s="16">
        <f t="shared" ca="1" si="68"/>
        <v>24.967163752083668</v>
      </c>
      <c r="L849" s="17">
        <f t="shared" si="69"/>
        <v>0.90476190476190477</v>
      </c>
      <c r="M849" s="16">
        <f t="shared" ca="1" si="66"/>
        <v>313.5741509523188</v>
      </c>
      <c r="N849" s="18">
        <f t="shared" ca="1" si="70"/>
        <v>1</v>
      </c>
    </row>
    <row r="850" spans="10:14" x14ac:dyDescent="0.25">
      <c r="J850" s="16">
        <f t="shared" ca="1" si="67"/>
        <v>9.9287422953102986</v>
      </c>
      <c r="K850" s="16">
        <f t="shared" ca="1" si="68"/>
        <v>38.233933136049927</v>
      </c>
      <c r="L850" s="17">
        <f t="shared" si="69"/>
        <v>0.90476190476190477</v>
      </c>
      <c r="M850" s="16">
        <f t="shared" ca="1" si="66"/>
        <v>343.46107199215868</v>
      </c>
      <c r="N850" s="18">
        <f t="shared" ca="1" si="70"/>
        <v>1</v>
      </c>
    </row>
    <row r="851" spans="10:14" x14ac:dyDescent="0.25">
      <c r="J851" s="16">
        <f t="shared" ca="1" si="67"/>
        <v>9.3195714073586391</v>
      </c>
      <c r="K851" s="16">
        <f t="shared" ca="1" si="68"/>
        <v>26.690557051023696</v>
      </c>
      <c r="L851" s="17">
        <f t="shared" si="69"/>
        <v>0.90476190476190477</v>
      </c>
      <c r="M851" s="16">
        <f t="shared" ref="M851:M914" ca="1" si="71">J851*K851*L851</f>
        <v>225.05459497355733</v>
      </c>
      <c r="N851" s="18">
        <f t="shared" ca="1" si="70"/>
        <v>0</v>
      </c>
    </row>
    <row r="852" spans="10:14" x14ac:dyDescent="0.25">
      <c r="J852" s="16">
        <f t="shared" ca="1" si="67"/>
        <v>9.5684408234286931</v>
      </c>
      <c r="K852" s="16">
        <f t="shared" ca="1" si="68"/>
        <v>38.396952244568155</v>
      </c>
      <c r="L852" s="17">
        <f t="shared" si="69"/>
        <v>0.90476190476190477</v>
      </c>
      <c r="M852" s="16">
        <f t="shared" ca="1" si="71"/>
        <v>332.40858769958049</v>
      </c>
      <c r="N852" s="18">
        <f t="shared" ca="1" si="70"/>
        <v>1</v>
      </c>
    </row>
    <row r="853" spans="10:14" x14ac:dyDescent="0.25">
      <c r="J853" s="16">
        <f t="shared" ca="1" si="67"/>
        <v>12.403792969983101</v>
      </c>
      <c r="K853" s="16">
        <f t="shared" ca="1" si="68"/>
        <v>34.222123800585798</v>
      </c>
      <c r="L853" s="17">
        <f t="shared" si="69"/>
        <v>0.90476190476190477</v>
      </c>
      <c r="M853" s="16">
        <f t="shared" ca="1" si="71"/>
        <v>384.0570777950644</v>
      </c>
      <c r="N853" s="18">
        <f t="shared" ca="1" si="70"/>
        <v>1</v>
      </c>
    </row>
    <row r="854" spans="10:14" x14ac:dyDescent="0.25">
      <c r="J854" s="16">
        <f t="shared" ca="1" si="67"/>
        <v>7.2818838619127622</v>
      </c>
      <c r="K854" s="16">
        <f t="shared" ca="1" si="68"/>
        <v>37.628734970952408</v>
      </c>
      <c r="L854" s="17">
        <f t="shared" si="69"/>
        <v>0.90476190476190477</v>
      </c>
      <c r="M854" s="16">
        <f t="shared" ca="1" si="71"/>
        <v>247.91207050734494</v>
      </c>
      <c r="N854" s="18">
        <f t="shared" ca="1" si="70"/>
        <v>1</v>
      </c>
    </row>
    <row r="855" spans="10:14" x14ac:dyDescent="0.25">
      <c r="J855" s="16">
        <f t="shared" ca="1" si="67"/>
        <v>9.4274198927840498</v>
      </c>
      <c r="K855" s="16">
        <f t="shared" ca="1" si="68"/>
        <v>40.893156260846396</v>
      </c>
      <c r="L855" s="17">
        <f t="shared" si="69"/>
        <v>0.90476190476190477</v>
      </c>
      <c r="M855" s="16">
        <f t="shared" ca="1" si="71"/>
        <v>348.80105435392232</v>
      </c>
      <c r="N855" s="18">
        <f t="shared" ca="1" si="70"/>
        <v>1</v>
      </c>
    </row>
    <row r="856" spans="10:14" x14ac:dyDescent="0.25">
      <c r="J856" s="16">
        <f t="shared" ca="1" si="67"/>
        <v>2.9403300557961018</v>
      </c>
      <c r="K856" s="16">
        <f t="shared" ca="1" si="68"/>
        <v>24.199064006550792</v>
      </c>
      <c r="L856" s="17">
        <f t="shared" si="69"/>
        <v>0.90476190476190477</v>
      </c>
      <c r="M856" s="16">
        <f t="shared" ca="1" si="71"/>
        <v>64.376736628157317</v>
      </c>
      <c r="N856" s="18">
        <f t="shared" ca="1" si="70"/>
        <v>0</v>
      </c>
    </row>
    <row r="857" spans="10:14" x14ac:dyDescent="0.25">
      <c r="J857" s="16">
        <f t="shared" ca="1" si="67"/>
        <v>4.2936398585884605</v>
      </c>
      <c r="K857" s="16">
        <f t="shared" ca="1" si="68"/>
        <v>39.683724536168839</v>
      </c>
      <c r="L857" s="17">
        <f t="shared" si="69"/>
        <v>0.90476190476190477</v>
      </c>
      <c r="M857" s="16">
        <f t="shared" ca="1" si="71"/>
        <v>154.16022889090706</v>
      </c>
      <c r="N857" s="18">
        <f t="shared" ca="1" si="70"/>
        <v>0</v>
      </c>
    </row>
    <row r="858" spans="10:14" x14ac:dyDescent="0.25">
      <c r="J858" s="16">
        <f t="shared" ca="1" si="67"/>
        <v>11.076153156656913</v>
      </c>
      <c r="K858" s="16">
        <f t="shared" ca="1" si="68"/>
        <v>28.571945303441566</v>
      </c>
      <c r="L858" s="17">
        <f t="shared" si="69"/>
        <v>0.90476190476190477</v>
      </c>
      <c r="M858" s="16">
        <f t="shared" ca="1" si="71"/>
        <v>286.32750481553887</v>
      </c>
      <c r="N858" s="18">
        <f t="shared" ca="1" si="70"/>
        <v>1</v>
      </c>
    </row>
    <row r="859" spans="10:14" x14ac:dyDescent="0.25">
      <c r="J859" s="16">
        <f t="shared" ca="1" si="67"/>
        <v>6.5426812322719199</v>
      </c>
      <c r="K859" s="16">
        <f t="shared" ca="1" si="68"/>
        <v>36.90075606270446</v>
      </c>
      <c r="L859" s="17">
        <f t="shared" si="69"/>
        <v>0.90476190476190477</v>
      </c>
      <c r="M859" s="16">
        <f t="shared" ca="1" si="71"/>
        <v>218.43656184828163</v>
      </c>
      <c r="N859" s="18">
        <f t="shared" ca="1" si="70"/>
        <v>0</v>
      </c>
    </row>
    <row r="860" spans="10:14" x14ac:dyDescent="0.25">
      <c r="J860" s="16">
        <f t="shared" ca="1" si="67"/>
        <v>8.8481301742063305</v>
      </c>
      <c r="K860" s="16">
        <f t="shared" ca="1" si="68"/>
        <v>33.527821175050526</v>
      </c>
      <c r="L860" s="17">
        <f t="shared" si="69"/>
        <v>0.90476190476190477</v>
      </c>
      <c r="M860" s="16">
        <f t="shared" ca="1" si="71"/>
        <v>268.40533324156246</v>
      </c>
      <c r="N860" s="18">
        <f t="shared" ca="1" si="70"/>
        <v>1</v>
      </c>
    </row>
    <row r="861" spans="10:14" x14ac:dyDescent="0.25">
      <c r="J861" s="16">
        <f t="shared" ca="1" si="67"/>
        <v>5.8855625719722617</v>
      </c>
      <c r="K861" s="16">
        <f t="shared" ca="1" si="68"/>
        <v>37.714519769352975</v>
      </c>
      <c r="L861" s="17">
        <f t="shared" si="69"/>
        <v>0.90476190476190477</v>
      </c>
      <c r="M861" s="16">
        <f t="shared" ca="1" si="71"/>
        <v>200.83105492922974</v>
      </c>
      <c r="N861" s="18">
        <f t="shared" ca="1" si="70"/>
        <v>0</v>
      </c>
    </row>
    <row r="862" spans="10:14" x14ac:dyDescent="0.25">
      <c r="J862" s="16">
        <f t="shared" ca="1" si="67"/>
        <v>9.2386040825233078</v>
      </c>
      <c r="K862" s="16">
        <f t="shared" ca="1" si="68"/>
        <v>28.630529647520191</v>
      </c>
      <c r="L862" s="17">
        <f t="shared" si="69"/>
        <v>0.90476190476190477</v>
      </c>
      <c r="M862" s="16">
        <f t="shared" ca="1" si="71"/>
        <v>239.31506826863372</v>
      </c>
      <c r="N862" s="18">
        <f t="shared" ca="1" si="70"/>
        <v>1</v>
      </c>
    </row>
    <row r="863" spans="10:14" x14ac:dyDescent="0.25">
      <c r="J863" s="16">
        <f t="shared" ca="1" si="67"/>
        <v>7.3183496215949289</v>
      </c>
      <c r="K863" s="16">
        <f t="shared" ca="1" si="68"/>
        <v>21.503271189246668</v>
      </c>
      <c r="L863" s="17">
        <f t="shared" si="69"/>
        <v>0.90476190476190477</v>
      </c>
      <c r="M863" s="16">
        <f t="shared" ca="1" si="71"/>
        <v>142.38098451650728</v>
      </c>
      <c r="N863" s="18">
        <f t="shared" ca="1" si="70"/>
        <v>0</v>
      </c>
    </row>
    <row r="864" spans="10:14" x14ac:dyDescent="0.25">
      <c r="J864" s="16">
        <f t="shared" ca="1" si="67"/>
        <v>10.985173460354185</v>
      </c>
      <c r="K864" s="16">
        <f t="shared" ca="1" si="68"/>
        <v>21.927083075136942</v>
      </c>
      <c r="L864" s="17">
        <f t="shared" si="69"/>
        <v>0.90476190476190477</v>
      </c>
      <c r="M864" s="16">
        <f t="shared" ca="1" si="71"/>
        <v>217.93254333997808</v>
      </c>
      <c r="N864" s="18">
        <f t="shared" ca="1" si="70"/>
        <v>0</v>
      </c>
    </row>
    <row r="865" spans="10:14" x14ac:dyDescent="0.25">
      <c r="J865" s="16">
        <f t="shared" ca="1" si="67"/>
        <v>7.3192878716358507</v>
      </c>
      <c r="K865" s="16">
        <f t="shared" ca="1" si="68"/>
        <v>25.683191235898263</v>
      </c>
      <c r="L865" s="17">
        <f t="shared" si="69"/>
        <v>0.90476190476190477</v>
      </c>
      <c r="M865" s="16">
        <f t="shared" ca="1" si="71"/>
        <v>170.07955867802249</v>
      </c>
      <c r="N865" s="18">
        <f t="shared" ca="1" si="70"/>
        <v>0</v>
      </c>
    </row>
    <row r="866" spans="10:14" x14ac:dyDescent="0.25">
      <c r="J866" s="16">
        <f t="shared" ca="1" si="67"/>
        <v>11.295887473948669</v>
      </c>
      <c r="K866" s="16">
        <f t="shared" ca="1" si="68"/>
        <v>27.920994341101711</v>
      </c>
      <c r="L866" s="17">
        <f t="shared" si="69"/>
        <v>0.90476190476190477</v>
      </c>
      <c r="M866" s="16">
        <f t="shared" ca="1" si="71"/>
        <v>285.35503783423849</v>
      </c>
      <c r="N866" s="18">
        <f t="shared" ca="1" si="70"/>
        <v>1</v>
      </c>
    </row>
    <row r="867" spans="10:14" x14ac:dyDescent="0.25">
      <c r="J867" s="16">
        <f t="shared" ca="1" si="67"/>
        <v>7.3031304159547004</v>
      </c>
      <c r="K867" s="16">
        <f t="shared" ca="1" si="68"/>
        <v>23.217530845220534</v>
      </c>
      <c r="L867" s="17">
        <f t="shared" si="69"/>
        <v>0.90476190476190477</v>
      </c>
      <c r="M867" s="16">
        <f t="shared" ca="1" si="71"/>
        <v>153.41202182299207</v>
      </c>
      <c r="N867" s="18">
        <f t="shared" ca="1" si="70"/>
        <v>0</v>
      </c>
    </row>
    <row r="868" spans="10:14" x14ac:dyDescent="0.25">
      <c r="J868" s="16">
        <f t="shared" ca="1" si="67"/>
        <v>8.6150091322096589</v>
      </c>
      <c r="K868" s="16">
        <f t="shared" ca="1" si="68"/>
        <v>24.697723533712484</v>
      </c>
      <c r="L868" s="17">
        <f t="shared" si="69"/>
        <v>0.90476190476190477</v>
      </c>
      <c r="M868" s="16">
        <f t="shared" ca="1" si="71"/>
        <v>192.50719818889175</v>
      </c>
      <c r="N868" s="18">
        <f t="shared" ca="1" si="70"/>
        <v>0</v>
      </c>
    </row>
    <row r="869" spans="10:14" x14ac:dyDescent="0.25">
      <c r="J869" s="16">
        <f t="shared" ca="1" si="67"/>
        <v>11.090198612790509</v>
      </c>
      <c r="K869" s="16">
        <f t="shared" ca="1" si="68"/>
        <v>43.317454333954018</v>
      </c>
      <c r="L869" s="17">
        <f t="shared" si="69"/>
        <v>0.90476190476190477</v>
      </c>
      <c r="M869" s="16">
        <f t="shared" ca="1" si="71"/>
        <v>434.64686987222041</v>
      </c>
      <c r="N869" s="18">
        <f t="shared" ca="1" si="70"/>
        <v>1</v>
      </c>
    </row>
    <row r="870" spans="10:14" x14ac:dyDescent="0.25">
      <c r="J870" s="16">
        <f t="shared" ca="1" si="67"/>
        <v>11.893944134955609</v>
      </c>
      <c r="K870" s="16">
        <f t="shared" ca="1" si="68"/>
        <v>38.001965746211695</v>
      </c>
      <c r="L870" s="17">
        <f t="shared" si="69"/>
        <v>0.90476190476190477</v>
      </c>
      <c r="M870" s="16">
        <f t="shared" ca="1" si="71"/>
        <v>408.94628068927773</v>
      </c>
      <c r="N870" s="18">
        <f t="shared" ca="1" si="70"/>
        <v>1</v>
      </c>
    </row>
    <row r="871" spans="10:14" x14ac:dyDescent="0.25">
      <c r="J871" s="16">
        <f t="shared" ca="1" si="67"/>
        <v>3.7304892403497432</v>
      </c>
      <c r="K871" s="16">
        <f t="shared" ca="1" si="68"/>
        <v>43.595550608408857</v>
      </c>
      <c r="L871" s="17">
        <f t="shared" si="69"/>
        <v>0.90476190476190477</v>
      </c>
      <c r="M871" s="16">
        <f t="shared" ca="1" si="71"/>
        <v>147.14390080781175</v>
      </c>
      <c r="N871" s="18">
        <f t="shared" ca="1" si="70"/>
        <v>0</v>
      </c>
    </row>
    <row r="872" spans="10:14" x14ac:dyDescent="0.25">
      <c r="J872" s="16">
        <f t="shared" ca="1" si="67"/>
        <v>8.284898234507116</v>
      </c>
      <c r="K872" s="16">
        <f t="shared" ca="1" si="68"/>
        <v>36.635225311086586</v>
      </c>
      <c r="L872" s="17">
        <f t="shared" si="69"/>
        <v>0.90476190476190477</v>
      </c>
      <c r="M872" s="16">
        <f t="shared" ca="1" si="71"/>
        <v>274.61253126244009</v>
      </c>
      <c r="N872" s="18">
        <f t="shared" ca="1" si="70"/>
        <v>1</v>
      </c>
    </row>
    <row r="873" spans="10:14" x14ac:dyDescent="0.25">
      <c r="J873" s="16">
        <f t="shared" ca="1" si="67"/>
        <v>11.642610447515137</v>
      </c>
      <c r="K873" s="16">
        <f t="shared" ca="1" si="68"/>
        <v>29.642164401074275</v>
      </c>
      <c r="L873" s="17">
        <f t="shared" si="69"/>
        <v>0.90476190476190477</v>
      </c>
      <c r="M873" s="16">
        <f t="shared" ca="1" si="71"/>
        <v>312.24434694834588</v>
      </c>
      <c r="N873" s="18">
        <f t="shared" ca="1" si="70"/>
        <v>1</v>
      </c>
    </row>
    <row r="874" spans="10:14" x14ac:dyDescent="0.25">
      <c r="J874" s="16">
        <f t="shared" ca="1" si="67"/>
        <v>10.275122058762749</v>
      </c>
      <c r="K874" s="16">
        <f t="shared" ca="1" si="68"/>
        <v>37.143847411863689</v>
      </c>
      <c r="L874" s="17">
        <f t="shared" si="69"/>
        <v>0.90476190476190477</v>
      </c>
      <c r="M874" s="16">
        <f t="shared" ca="1" si="71"/>
        <v>345.30922628048603</v>
      </c>
      <c r="N874" s="18">
        <f t="shared" ca="1" si="70"/>
        <v>1</v>
      </c>
    </row>
    <row r="875" spans="10:14" x14ac:dyDescent="0.25">
      <c r="J875" s="16">
        <f t="shared" ca="1" si="67"/>
        <v>5.213365399926178</v>
      </c>
      <c r="K875" s="16">
        <f t="shared" ca="1" si="68"/>
        <v>33.347845119873575</v>
      </c>
      <c r="L875" s="17">
        <f t="shared" si="69"/>
        <v>0.90476190476190477</v>
      </c>
      <c r="M875" s="16">
        <f t="shared" ca="1" si="71"/>
        <v>157.29693029956539</v>
      </c>
      <c r="N875" s="18">
        <f t="shared" ca="1" si="70"/>
        <v>0</v>
      </c>
    </row>
    <row r="876" spans="10:14" x14ac:dyDescent="0.25">
      <c r="J876" s="16">
        <f t="shared" ca="1" si="67"/>
        <v>10.971723907179907</v>
      </c>
      <c r="K876" s="16">
        <f t="shared" ca="1" si="68"/>
        <v>40.430019667929706</v>
      </c>
      <c r="L876" s="17">
        <f t="shared" si="69"/>
        <v>0.90476190476190477</v>
      </c>
      <c r="M876" s="16">
        <f t="shared" ca="1" si="71"/>
        <v>401.34063113377078</v>
      </c>
      <c r="N876" s="18">
        <f t="shared" ca="1" si="70"/>
        <v>1</v>
      </c>
    </row>
    <row r="877" spans="10:14" x14ac:dyDescent="0.25">
      <c r="J877" s="16">
        <f t="shared" ca="1" si="67"/>
        <v>6.1701167550770952</v>
      </c>
      <c r="K877" s="16">
        <f t="shared" ca="1" si="68"/>
        <v>35.161265840396013</v>
      </c>
      <c r="L877" s="17">
        <f t="shared" si="69"/>
        <v>0.90476190476190477</v>
      </c>
      <c r="M877" s="16">
        <f t="shared" ca="1" si="71"/>
        <v>196.28729496854285</v>
      </c>
      <c r="N877" s="18">
        <f t="shared" ca="1" si="70"/>
        <v>0</v>
      </c>
    </row>
    <row r="878" spans="10:14" x14ac:dyDescent="0.25">
      <c r="J878" s="16">
        <f t="shared" ca="1" si="67"/>
        <v>7.3870637834602535</v>
      </c>
      <c r="K878" s="16">
        <f t="shared" ca="1" si="68"/>
        <v>34.918031781252267</v>
      </c>
      <c r="L878" s="17">
        <f t="shared" si="69"/>
        <v>0.90476190476190477</v>
      </c>
      <c r="M878" s="16">
        <f t="shared" ca="1" si="71"/>
        <v>233.37584910757391</v>
      </c>
      <c r="N878" s="18">
        <f t="shared" ca="1" si="70"/>
        <v>0</v>
      </c>
    </row>
    <row r="879" spans="10:14" x14ac:dyDescent="0.25">
      <c r="J879" s="16">
        <f t="shared" ca="1" si="67"/>
        <v>7.3718517267364208</v>
      </c>
      <c r="K879" s="16">
        <f t="shared" ca="1" si="68"/>
        <v>37.180185026316032</v>
      </c>
      <c r="L879" s="17">
        <f t="shared" si="69"/>
        <v>0.90476190476190477</v>
      </c>
      <c r="M879" s="16">
        <f t="shared" ca="1" si="71"/>
        <v>247.98330535932962</v>
      </c>
      <c r="N879" s="18">
        <f t="shared" ca="1" si="70"/>
        <v>1</v>
      </c>
    </row>
    <row r="880" spans="10:14" x14ac:dyDescent="0.25">
      <c r="J880" s="16">
        <f t="shared" ca="1" si="67"/>
        <v>12.842588555642065</v>
      </c>
      <c r="K880" s="16">
        <f t="shared" ca="1" si="68"/>
        <v>37.037276664831708</v>
      </c>
      <c r="L880" s="17">
        <f t="shared" si="69"/>
        <v>0.90476190476190477</v>
      </c>
      <c r="M880" s="16">
        <f t="shared" ca="1" si="71"/>
        <v>430.35407633954361</v>
      </c>
      <c r="N880" s="18">
        <f t="shared" ca="1" si="70"/>
        <v>1</v>
      </c>
    </row>
    <row r="881" spans="10:14" x14ac:dyDescent="0.25">
      <c r="J881" s="16">
        <f t="shared" ca="1" si="67"/>
        <v>10.455293308415129</v>
      </c>
      <c r="K881" s="16">
        <f t="shared" ca="1" si="68"/>
        <v>27.096599838900275</v>
      </c>
      <c r="L881" s="17">
        <f t="shared" si="69"/>
        <v>0.90476190476190477</v>
      </c>
      <c r="M881" s="16">
        <f t="shared" ca="1" si="71"/>
        <v>256.32167050250825</v>
      </c>
      <c r="N881" s="18">
        <f t="shared" ca="1" si="70"/>
        <v>1</v>
      </c>
    </row>
    <row r="882" spans="10:14" x14ac:dyDescent="0.25">
      <c r="J882" s="16">
        <f t="shared" ca="1" si="67"/>
        <v>11.936705418610867</v>
      </c>
      <c r="K882" s="16">
        <f t="shared" ca="1" si="68"/>
        <v>32.765765978959308</v>
      </c>
      <c r="L882" s="17">
        <f t="shared" si="69"/>
        <v>0.90476190476190477</v>
      </c>
      <c r="M882" s="16">
        <f t="shared" ca="1" si="71"/>
        <v>353.86622046731446</v>
      </c>
      <c r="N882" s="18">
        <f t="shared" ca="1" si="70"/>
        <v>1</v>
      </c>
    </row>
    <row r="883" spans="10:14" x14ac:dyDescent="0.25">
      <c r="J883" s="16">
        <f t="shared" ca="1" si="67"/>
        <v>6.962939043306795</v>
      </c>
      <c r="K883" s="16">
        <f t="shared" ca="1" si="68"/>
        <v>26.289352579217535</v>
      </c>
      <c r="L883" s="17">
        <f t="shared" si="69"/>
        <v>0.90476190476190477</v>
      </c>
      <c r="M883" s="16">
        <f t="shared" ca="1" si="71"/>
        <v>165.61771573546415</v>
      </c>
      <c r="N883" s="18">
        <f t="shared" ca="1" si="70"/>
        <v>0</v>
      </c>
    </row>
    <row r="884" spans="10:14" x14ac:dyDescent="0.25">
      <c r="J884" s="16">
        <f t="shared" ca="1" si="67"/>
        <v>14.012899668379953</v>
      </c>
      <c r="K884" s="16">
        <f t="shared" ca="1" si="68"/>
        <v>37.51704764284321</v>
      </c>
      <c r="L884" s="17">
        <f t="shared" si="69"/>
        <v>0.90476190476190477</v>
      </c>
      <c r="M884" s="16">
        <f t="shared" ca="1" si="71"/>
        <v>475.65380309461227</v>
      </c>
      <c r="N884" s="18">
        <f t="shared" ca="1" si="70"/>
        <v>1</v>
      </c>
    </row>
    <row r="885" spans="10:14" x14ac:dyDescent="0.25">
      <c r="J885" s="16">
        <f t="shared" ca="1" si="67"/>
        <v>9.0771987748074228</v>
      </c>
      <c r="K885" s="16">
        <f t="shared" ca="1" si="68"/>
        <v>39.638812710521641</v>
      </c>
      <c r="L885" s="17">
        <f t="shared" si="69"/>
        <v>0.90476190476190477</v>
      </c>
      <c r="M885" s="16">
        <f t="shared" ca="1" si="71"/>
        <v>325.54182196402814</v>
      </c>
      <c r="N885" s="18">
        <f t="shared" ca="1" si="70"/>
        <v>1</v>
      </c>
    </row>
    <row r="886" spans="10:14" x14ac:dyDescent="0.25">
      <c r="J886" s="16">
        <f t="shared" ca="1" si="67"/>
        <v>9.5466886114259406</v>
      </c>
      <c r="K886" s="16">
        <f t="shared" ca="1" si="68"/>
        <v>36.917609881562264</v>
      </c>
      <c r="L886" s="17">
        <f t="shared" si="69"/>
        <v>0.90476190476190477</v>
      </c>
      <c r="M886" s="16">
        <f t="shared" ca="1" si="71"/>
        <v>318.87512335857849</v>
      </c>
      <c r="N886" s="18">
        <f t="shared" ca="1" si="70"/>
        <v>1</v>
      </c>
    </row>
    <row r="887" spans="10:14" x14ac:dyDescent="0.25">
      <c r="J887" s="16">
        <f t="shared" ca="1" si="67"/>
        <v>4.7998327678411483</v>
      </c>
      <c r="K887" s="16">
        <f t="shared" ca="1" si="68"/>
        <v>36.65759942899961</v>
      </c>
      <c r="L887" s="17">
        <f t="shared" si="69"/>
        <v>0.90476190476190477</v>
      </c>
      <c r="M887" s="16">
        <f t="shared" ca="1" si="71"/>
        <v>159.19317103163993</v>
      </c>
      <c r="N887" s="18">
        <f t="shared" ca="1" si="70"/>
        <v>0</v>
      </c>
    </row>
    <row r="888" spans="10:14" x14ac:dyDescent="0.25">
      <c r="J888" s="16">
        <f t="shared" ca="1" si="67"/>
        <v>13.463790471169983</v>
      </c>
      <c r="K888" s="16">
        <f t="shared" ca="1" si="68"/>
        <v>39.105424380257077</v>
      </c>
      <c r="L888" s="17">
        <f t="shared" si="69"/>
        <v>0.90476190476190477</v>
      </c>
      <c r="M888" s="16">
        <f t="shared" ca="1" si="71"/>
        <v>476.36369346177651</v>
      </c>
      <c r="N888" s="18">
        <f t="shared" ca="1" si="70"/>
        <v>1</v>
      </c>
    </row>
    <row r="889" spans="10:14" x14ac:dyDescent="0.25">
      <c r="J889" s="16">
        <f t="shared" ca="1" si="67"/>
        <v>7.7843773158618825</v>
      </c>
      <c r="K889" s="16">
        <f t="shared" ca="1" si="68"/>
        <v>37.018580874355109</v>
      </c>
      <c r="L889" s="17">
        <f t="shared" si="69"/>
        <v>0.90476190476190477</v>
      </c>
      <c r="M889" s="16">
        <f t="shared" ca="1" si="71"/>
        <v>260.72216301194476</v>
      </c>
      <c r="N889" s="18">
        <f t="shared" ca="1" si="70"/>
        <v>1</v>
      </c>
    </row>
    <row r="890" spans="10:14" x14ac:dyDescent="0.25">
      <c r="J890" s="16">
        <f t="shared" ca="1" si="67"/>
        <v>6.0874905429605013</v>
      </c>
      <c r="K890" s="16">
        <f t="shared" ca="1" si="68"/>
        <v>39.069370409679465</v>
      </c>
      <c r="L890" s="17">
        <f t="shared" si="69"/>
        <v>0.90476190476190477</v>
      </c>
      <c r="M890" s="16">
        <f t="shared" ca="1" si="71"/>
        <v>215.18352547040701</v>
      </c>
      <c r="N890" s="18">
        <f t="shared" ca="1" si="70"/>
        <v>0</v>
      </c>
    </row>
    <row r="891" spans="10:14" x14ac:dyDescent="0.25">
      <c r="J891" s="16">
        <f t="shared" ca="1" si="67"/>
        <v>7.9756077627218893</v>
      </c>
      <c r="K891" s="16">
        <f t="shared" ca="1" si="68"/>
        <v>22.400388816687382</v>
      </c>
      <c r="L891" s="17">
        <f t="shared" si="69"/>
        <v>0.90476190476190477</v>
      </c>
      <c r="M891" s="16">
        <f t="shared" ca="1" si="71"/>
        <v>161.64178970251663</v>
      </c>
      <c r="N891" s="18">
        <f t="shared" ca="1" si="70"/>
        <v>0</v>
      </c>
    </row>
    <row r="892" spans="10:14" x14ac:dyDescent="0.25">
      <c r="J892" s="16">
        <f t="shared" ca="1" si="67"/>
        <v>8.4407939609599119</v>
      </c>
      <c r="K892" s="16">
        <f t="shared" ca="1" si="68"/>
        <v>33.813378526665232</v>
      </c>
      <c r="L892" s="17">
        <f t="shared" si="69"/>
        <v>0.90476190476190477</v>
      </c>
      <c r="M892" s="16">
        <f t="shared" ca="1" si="71"/>
        <v>258.22968876585821</v>
      </c>
      <c r="N892" s="18">
        <f t="shared" ca="1" si="70"/>
        <v>1</v>
      </c>
    </row>
    <row r="893" spans="10:14" x14ac:dyDescent="0.25">
      <c r="J893" s="16">
        <f t="shared" ca="1" si="67"/>
        <v>3.0849958142562182</v>
      </c>
      <c r="K893" s="16">
        <f t="shared" ca="1" si="68"/>
        <v>44.09532078965475</v>
      </c>
      <c r="L893" s="17">
        <f t="shared" si="69"/>
        <v>0.90476190476190477</v>
      </c>
      <c r="M893" s="16">
        <f t="shared" ca="1" si="71"/>
        <v>123.07827243919199</v>
      </c>
      <c r="N893" s="18">
        <f t="shared" ca="1" si="70"/>
        <v>0</v>
      </c>
    </row>
    <row r="894" spans="10:14" x14ac:dyDescent="0.25">
      <c r="J894" s="16">
        <f t="shared" ca="1" si="67"/>
        <v>13.004745210669391</v>
      </c>
      <c r="K894" s="16">
        <f t="shared" ca="1" si="68"/>
        <v>29.677521873513484</v>
      </c>
      <c r="L894" s="17">
        <f t="shared" si="69"/>
        <v>0.90476190476190477</v>
      </c>
      <c r="M894" s="16">
        <f t="shared" ca="1" si="71"/>
        <v>349.19159993014767</v>
      </c>
      <c r="N894" s="18">
        <f t="shared" ca="1" si="70"/>
        <v>1</v>
      </c>
    </row>
    <row r="895" spans="10:14" x14ac:dyDescent="0.25">
      <c r="J895" s="16">
        <f t="shared" ca="1" si="67"/>
        <v>9.6084824858478264</v>
      </c>
      <c r="K895" s="16">
        <f t="shared" ca="1" si="68"/>
        <v>29.457588920760909</v>
      </c>
      <c r="L895" s="17">
        <f t="shared" si="69"/>
        <v>0.90476190476190477</v>
      </c>
      <c r="M895" s="16">
        <f t="shared" ca="1" si="71"/>
        <v>256.08627700896608</v>
      </c>
      <c r="N895" s="18">
        <f t="shared" ca="1" si="70"/>
        <v>1</v>
      </c>
    </row>
    <row r="896" spans="10:14" x14ac:dyDescent="0.25">
      <c r="J896" s="16">
        <f t="shared" ca="1" si="67"/>
        <v>7.4258264300072394</v>
      </c>
      <c r="K896" s="16">
        <f t="shared" ca="1" si="68"/>
        <v>43.54004897246638</v>
      </c>
      <c r="L896" s="17">
        <f t="shared" si="69"/>
        <v>0.90476190476190477</v>
      </c>
      <c r="M896" s="16">
        <f t="shared" ca="1" si="71"/>
        <v>292.52838485940276</v>
      </c>
      <c r="N896" s="18">
        <f t="shared" ca="1" si="70"/>
        <v>1</v>
      </c>
    </row>
    <row r="897" spans="10:14" x14ac:dyDescent="0.25">
      <c r="J897" s="16">
        <f t="shared" ca="1" si="67"/>
        <v>10.715015632611257</v>
      </c>
      <c r="K897" s="16">
        <f t="shared" ca="1" si="68"/>
        <v>22.810589963790427</v>
      </c>
      <c r="L897" s="17">
        <f t="shared" si="69"/>
        <v>0.90476190476190477</v>
      </c>
      <c r="M897" s="16">
        <f t="shared" ca="1" si="71"/>
        <v>221.13813014147132</v>
      </c>
      <c r="N897" s="18">
        <f t="shared" ca="1" si="70"/>
        <v>0</v>
      </c>
    </row>
    <row r="898" spans="10:14" x14ac:dyDescent="0.25">
      <c r="J898" s="16">
        <f t="shared" ca="1" si="67"/>
        <v>4.4681895804558058</v>
      </c>
      <c r="K898" s="16">
        <f t="shared" ca="1" si="68"/>
        <v>34.840318835406428</v>
      </c>
      <c r="L898" s="17">
        <f t="shared" si="69"/>
        <v>0.90476190476190477</v>
      </c>
      <c r="M898" s="16">
        <f t="shared" ca="1" si="71"/>
        <v>140.84713535249057</v>
      </c>
      <c r="N898" s="18">
        <f t="shared" ca="1" si="70"/>
        <v>0</v>
      </c>
    </row>
    <row r="899" spans="10:14" x14ac:dyDescent="0.25">
      <c r="J899" s="16">
        <f t="shared" ca="1" si="67"/>
        <v>8.3582831719235031</v>
      </c>
      <c r="K899" s="16">
        <f t="shared" ca="1" si="68"/>
        <v>36.05613034769123</v>
      </c>
      <c r="L899" s="17">
        <f t="shared" si="69"/>
        <v>0.90476190476190477</v>
      </c>
      <c r="M899" s="16">
        <f t="shared" ca="1" si="71"/>
        <v>272.66569538409385</v>
      </c>
      <c r="N899" s="18">
        <f t="shared" ca="1" si="70"/>
        <v>1</v>
      </c>
    </row>
    <row r="900" spans="10:14" x14ac:dyDescent="0.25">
      <c r="J900" s="16">
        <f t="shared" ref="J900:J963" ca="1" si="72">$D$2*(-LN(1-RAND()))^(1/$D$3)</f>
        <v>9.3023276932766024</v>
      </c>
      <c r="K900" s="16">
        <f t="shared" ref="K900:K963" ca="1" si="73">RAND()*($H$3-$H$2)+$H$2</f>
        <v>32.609243696098858</v>
      </c>
      <c r="L900" s="17">
        <f t="shared" ref="L900:L963" si="74">$D$22</f>
        <v>0.90476190476190477</v>
      </c>
      <c r="M900" s="16">
        <f t="shared" ca="1" si="71"/>
        <v>274.45216872045199</v>
      </c>
      <c r="N900" s="18">
        <f t="shared" ref="N900:N963" ca="1" si="75">IF(M900&gt;$R$2,1,0)</f>
        <v>1</v>
      </c>
    </row>
    <row r="901" spans="10:14" x14ac:dyDescent="0.25">
      <c r="J901" s="16">
        <f t="shared" ca="1" si="72"/>
        <v>10.46897969159787</v>
      </c>
      <c r="K901" s="16">
        <f t="shared" ca="1" si="73"/>
        <v>28.51150976014733</v>
      </c>
      <c r="L901" s="17">
        <f t="shared" si="74"/>
        <v>0.90476190476190477</v>
      </c>
      <c r="M901" s="16">
        <f t="shared" ca="1" si="71"/>
        <v>270.0591388790362</v>
      </c>
      <c r="N901" s="18">
        <f t="shared" ca="1" si="75"/>
        <v>1</v>
      </c>
    </row>
    <row r="902" spans="10:14" x14ac:dyDescent="0.25">
      <c r="J902" s="16">
        <f t="shared" ca="1" si="72"/>
        <v>7.9854632892250796</v>
      </c>
      <c r="K902" s="16">
        <f t="shared" ca="1" si="73"/>
        <v>20.140432651689949</v>
      </c>
      <c r="L902" s="17">
        <f t="shared" si="74"/>
        <v>0.90476190476190477</v>
      </c>
      <c r="M902" s="16">
        <f t="shared" ca="1" si="71"/>
        <v>145.51347741973447</v>
      </c>
      <c r="N902" s="18">
        <f t="shared" ca="1" si="75"/>
        <v>0</v>
      </c>
    </row>
    <row r="903" spans="10:14" x14ac:dyDescent="0.25">
      <c r="J903" s="16">
        <f t="shared" ca="1" si="72"/>
        <v>3.8919781140836851</v>
      </c>
      <c r="K903" s="16">
        <f t="shared" ca="1" si="73"/>
        <v>26.506119697665323</v>
      </c>
      <c r="L903" s="17">
        <f t="shared" si="74"/>
        <v>0.90476190476190477</v>
      </c>
      <c r="M903" s="16">
        <f t="shared" ca="1" si="71"/>
        <v>93.336357966634381</v>
      </c>
      <c r="N903" s="18">
        <f t="shared" ca="1" si="75"/>
        <v>0</v>
      </c>
    </row>
    <row r="904" spans="10:14" x14ac:dyDescent="0.25">
      <c r="J904" s="16">
        <f t="shared" ca="1" si="72"/>
        <v>8.3863729855671387</v>
      </c>
      <c r="K904" s="16">
        <f t="shared" ca="1" si="73"/>
        <v>28.41795172743884</v>
      </c>
      <c r="L904" s="17">
        <f t="shared" si="74"/>
        <v>0.90476190476190477</v>
      </c>
      <c r="M904" s="16">
        <f t="shared" ca="1" si="71"/>
        <v>215.6260624176542</v>
      </c>
      <c r="N904" s="18">
        <f t="shared" ca="1" si="75"/>
        <v>0</v>
      </c>
    </row>
    <row r="905" spans="10:14" x14ac:dyDescent="0.25">
      <c r="J905" s="16">
        <f t="shared" ca="1" si="72"/>
        <v>13.86989465525321</v>
      </c>
      <c r="K905" s="16">
        <f t="shared" ca="1" si="73"/>
        <v>20.180470683276784</v>
      </c>
      <c r="L905" s="17">
        <f t="shared" si="74"/>
        <v>0.90476190476190477</v>
      </c>
      <c r="M905" s="16">
        <f t="shared" ca="1" si="71"/>
        <v>253.24376413995338</v>
      </c>
      <c r="N905" s="18">
        <f t="shared" ca="1" si="75"/>
        <v>1</v>
      </c>
    </row>
    <row r="906" spans="10:14" x14ac:dyDescent="0.25">
      <c r="J906" s="16">
        <f t="shared" ca="1" si="72"/>
        <v>12.557921609058099</v>
      </c>
      <c r="K906" s="16">
        <f t="shared" ca="1" si="73"/>
        <v>28.448838723745531</v>
      </c>
      <c r="L906" s="17">
        <f t="shared" si="74"/>
        <v>0.90476190476190477</v>
      </c>
      <c r="M906" s="16">
        <f t="shared" ca="1" si="71"/>
        <v>323.23368784138682</v>
      </c>
      <c r="N906" s="18">
        <f t="shared" ca="1" si="75"/>
        <v>1</v>
      </c>
    </row>
    <row r="907" spans="10:14" x14ac:dyDescent="0.25">
      <c r="J907" s="16">
        <f t="shared" ca="1" si="72"/>
        <v>12.368070715456977</v>
      </c>
      <c r="K907" s="16">
        <f t="shared" ca="1" si="73"/>
        <v>30.238183336913668</v>
      </c>
      <c r="L907" s="17">
        <f t="shared" si="74"/>
        <v>0.90476190476190477</v>
      </c>
      <c r="M907" s="16">
        <f t="shared" ca="1" si="71"/>
        <v>338.37008602572001</v>
      </c>
      <c r="N907" s="18">
        <f t="shared" ca="1" si="75"/>
        <v>1</v>
      </c>
    </row>
    <row r="908" spans="10:14" x14ac:dyDescent="0.25">
      <c r="J908" s="16">
        <f t="shared" ca="1" si="72"/>
        <v>9.4955660106889788</v>
      </c>
      <c r="K908" s="16">
        <f t="shared" ca="1" si="73"/>
        <v>41.92289934169564</v>
      </c>
      <c r="L908" s="17">
        <f t="shared" si="74"/>
        <v>0.90476190476190477</v>
      </c>
      <c r="M908" s="16">
        <f t="shared" ca="1" si="71"/>
        <v>360.16911919582236</v>
      </c>
      <c r="N908" s="18">
        <f t="shared" ca="1" si="75"/>
        <v>1</v>
      </c>
    </row>
    <row r="909" spans="10:14" x14ac:dyDescent="0.25">
      <c r="J909" s="16">
        <f t="shared" ca="1" si="72"/>
        <v>7.20930374701536</v>
      </c>
      <c r="K909" s="16">
        <f t="shared" ca="1" si="73"/>
        <v>34.538317288563725</v>
      </c>
      <c r="L909" s="17">
        <f t="shared" si="74"/>
        <v>0.90476190476190477</v>
      </c>
      <c r="M909" s="16">
        <f t="shared" ca="1" si="71"/>
        <v>225.28319926842426</v>
      </c>
      <c r="N909" s="18">
        <f t="shared" ca="1" si="75"/>
        <v>0</v>
      </c>
    </row>
    <row r="910" spans="10:14" x14ac:dyDescent="0.25">
      <c r="J910" s="16">
        <f t="shared" ca="1" si="72"/>
        <v>12.120409323695013</v>
      </c>
      <c r="K910" s="16">
        <f t="shared" ca="1" si="73"/>
        <v>23.683006146364427</v>
      </c>
      <c r="L910" s="17">
        <f t="shared" si="74"/>
        <v>0.90476190476190477</v>
      </c>
      <c r="M910" s="16">
        <f t="shared" ca="1" si="71"/>
        <v>259.70984960385294</v>
      </c>
      <c r="N910" s="18">
        <f t="shared" ca="1" si="75"/>
        <v>1</v>
      </c>
    </row>
    <row r="911" spans="10:14" x14ac:dyDescent="0.25">
      <c r="J911" s="16">
        <f t="shared" ca="1" si="72"/>
        <v>7.7207857372964792</v>
      </c>
      <c r="K911" s="16">
        <f t="shared" ca="1" si="73"/>
        <v>41.202418700386744</v>
      </c>
      <c r="L911" s="17">
        <f t="shared" si="74"/>
        <v>0.90476190476190477</v>
      </c>
      <c r="M911" s="16">
        <f t="shared" ca="1" si="71"/>
        <v>287.81837553510525</v>
      </c>
      <c r="N911" s="18">
        <f t="shared" ca="1" si="75"/>
        <v>1</v>
      </c>
    </row>
    <row r="912" spans="10:14" x14ac:dyDescent="0.25">
      <c r="J912" s="16">
        <f t="shared" ca="1" si="72"/>
        <v>8.1112091110066995</v>
      </c>
      <c r="K912" s="16">
        <f t="shared" ca="1" si="73"/>
        <v>42.84607458093069</v>
      </c>
      <c r="L912" s="17">
        <f t="shared" si="74"/>
        <v>0.90476190476190477</v>
      </c>
      <c r="M912" s="16">
        <f t="shared" ca="1" si="71"/>
        <v>314.43504474869684</v>
      </c>
      <c r="N912" s="18">
        <f t="shared" ca="1" si="75"/>
        <v>1</v>
      </c>
    </row>
    <row r="913" spans="10:14" x14ac:dyDescent="0.25">
      <c r="J913" s="16">
        <f t="shared" ca="1" si="72"/>
        <v>16.010661031363956</v>
      </c>
      <c r="K913" s="16">
        <f t="shared" ca="1" si="73"/>
        <v>40.224994979926578</v>
      </c>
      <c r="L913" s="17">
        <f t="shared" si="74"/>
        <v>0.90476190476190477</v>
      </c>
      <c r="M913" s="16">
        <f t="shared" ca="1" si="71"/>
        <v>582.6926872679287</v>
      </c>
      <c r="N913" s="18">
        <f t="shared" ca="1" si="75"/>
        <v>1</v>
      </c>
    </row>
    <row r="914" spans="10:14" x14ac:dyDescent="0.25">
      <c r="J914" s="16">
        <f t="shared" ca="1" si="72"/>
        <v>9.9734004339442208</v>
      </c>
      <c r="K914" s="16">
        <f t="shared" ca="1" si="73"/>
        <v>23.335101705896154</v>
      </c>
      <c r="L914" s="17">
        <f t="shared" si="74"/>
        <v>0.90476190476190477</v>
      </c>
      <c r="M914" s="16">
        <f t="shared" ca="1" si="71"/>
        <v>210.56552171974417</v>
      </c>
      <c r="N914" s="18">
        <f t="shared" ca="1" si="75"/>
        <v>0</v>
      </c>
    </row>
    <row r="915" spans="10:14" x14ac:dyDescent="0.25">
      <c r="J915" s="16">
        <f t="shared" ca="1" si="72"/>
        <v>7.5053020999501738</v>
      </c>
      <c r="K915" s="16">
        <f t="shared" ca="1" si="73"/>
        <v>23.031480994663532</v>
      </c>
      <c r="L915" s="17">
        <f t="shared" si="74"/>
        <v>0.90476190476190477</v>
      </c>
      <c r="M915" s="16">
        <f t="shared" ref="M915:M978" ca="1" si="76">J915*K915*L915</f>
        <v>156.39553480047638</v>
      </c>
      <c r="N915" s="18">
        <f t="shared" ca="1" si="75"/>
        <v>0</v>
      </c>
    </row>
    <row r="916" spans="10:14" x14ac:dyDescent="0.25">
      <c r="J916" s="16">
        <f t="shared" ca="1" si="72"/>
        <v>7.3810082228506122</v>
      </c>
      <c r="K916" s="16">
        <f t="shared" ca="1" si="73"/>
        <v>27.658877365968316</v>
      </c>
      <c r="L916" s="17">
        <f t="shared" si="74"/>
        <v>0.90476190476190477</v>
      </c>
      <c r="M916" s="16">
        <f t="shared" ca="1" si="76"/>
        <v>184.70750591369276</v>
      </c>
      <c r="N916" s="18">
        <f t="shared" ca="1" si="75"/>
        <v>0</v>
      </c>
    </row>
    <row r="917" spans="10:14" x14ac:dyDescent="0.25">
      <c r="J917" s="16">
        <f t="shared" ca="1" si="72"/>
        <v>5.6421120808128418</v>
      </c>
      <c r="K917" s="16">
        <f t="shared" ca="1" si="73"/>
        <v>44.136834165199431</v>
      </c>
      <c r="L917" s="17">
        <f t="shared" si="74"/>
        <v>0.90476190476190477</v>
      </c>
      <c r="M917" s="16">
        <f t="shared" ca="1" si="76"/>
        <v>225.30830189494233</v>
      </c>
      <c r="N917" s="18">
        <f t="shared" ca="1" si="75"/>
        <v>0</v>
      </c>
    </row>
    <row r="918" spans="10:14" x14ac:dyDescent="0.25">
      <c r="J918" s="16">
        <f t="shared" ca="1" si="72"/>
        <v>10.633536123897919</v>
      </c>
      <c r="K918" s="16">
        <f t="shared" ca="1" si="73"/>
        <v>20.809359837250998</v>
      </c>
      <c r="L918" s="17">
        <f t="shared" si="74"/>
        <v>0.90476190476190477</v>
      </c>
      <c r="M918" s="16">
        <f t="shared" ca="1" si="76"/>
        <v>200.20307196892293</v>
      </c>
      <c r="N918" s="18">
        <f t="shared" ca="1" si="75"/>
        <v>0</v>
      </c>
    </row>
    <row r="919" spans="10:14" x14ac:dyDescent="0.25">
      <c r="J919" s="16">
        <f t="shared" ca="1" si="72"/>
        <v>9.6736554774954016</v>
      </c>
      <c r="K919" s="16">
        <f t="shared" ca="1" si="73"/>
        <v>44.548091385053127</v>
      </c>
      <c r="L919" s="17">
        <f t="shared" si="74"/>
        <v>0.90476190476190477</v>
      </c>
      <c r="M919" s="16">
        <f t="shared" ca="1" si="76"/>
        <v>389.90070840670063</v>
      </c>
      <c r="N919" s="18">
        <f t="shared" ca="1" si="75"/>
        <v>1</v>
      </c>
    </row>
    <row r="920" spans="10:14" x14ac:dyDescent="0.25">
      <c r="J920" s="16">
        <f t="shared" ca="1" si="72"/>
        <v>3.6230596490641576</v>
      </c>
      <c r="K920" s="16">
        <f t="shared" ca="1" si="73"/>
        <v>41.43568513881619</v>
      </c>
      <c r="L920" s="17">
        <f t="shared" si="74"/>
        <v>0.90476190476190477</v>
      </c>
      <c r="M920" s="16">
        <f t="shared" ca="1" si="76"/>
        <v>135.82643896655591</v>
      </c>
      <c r="N920" s="18">
        <f t="shared" ca="1" si="75"/>
        <v>0</v>
      </c>
    </row>
    <row r="921" spans="10:14" x14ac:dyDescent="0.25">
      <c r="J921" s="16">
        <f t="shared" ca="1" si="72"/>
        <v>12.333489705459447</v>
      </c>
      <c r="K921" s="16">
        <f t="shared" ca="1" si="73"/>
        <v>43.675290112586083</v>
      </c>
      <c r="L921" s="17">
        <f t="shared" si="74"/>
        <v>0.90476190476190477</v>
      </c>
      <c r="M921" s="16">
        <f t="shared" ca="1" si="76"/>
        <v>487.36695613067474</v>
      </c>
      <c r="N921" s="18">
        <f t="shared" ca="1" si="75"/>
        <v>1</v>
      </c>
    </row>
    <row r="922" spans="10:14" x14ac:dyDescent="0.25">
      <c r="J922" s="16">
        <f t="shared" ca="1" si="72"/>
        <v>9.1213269442149443</v>
      </c>
      <c r="K922" s="16">
        <f t="shared" ca="1" si="73"/>
        <v>25.376514720954319</v>
      </c>
      <c r="L922" s="17">
        <f t="shared" si="74"/>
        <v>0.90476190476190477</v>
      </c>
      <c r="M922" s="16">
        <f t="shared" ca="1" si="76"/>
        <v>209.42296485788802</v>
      </c>
      <c r="N922" s="18">
        <f t="shared" ca="1" si="75"/>
        <v>0</v>
      </c>
    </row>
    <row r="923" spans="10:14" x14ac:dyDescent="0.25">
      <c r="J923" s="16">
        <f t="shared" ca="1" si="72"/>
        <v>4.8190635654132752</v>
      </c>
      <c r="K923" s="16">
        <f t="shared" ca="1" si="73"/>
        <v>20.765608674176956</v>
      </c>
      <c r="L923" s="17">
        <f t="shared" si="74"/>
        <v>0.90476190476190477</v>
      </c>
      <c r="M923" s="16">
        <f t="shared" ca="1" si="76"/>
        <v>90.540236920560233</v>
      </c>
      <c r="N923" s="18">
        <f t="shared" ca="1" si="75"/>
        <v>0</v>
      </c>
    </row>
    <row r="924" spans="10:14" x14ac:dyDescent="0.25">
      <c r="J924" s="16">
        <f t="shared" ca="1" si="72"/>
        <v>8.8006623213622248</v>
      </c>
      <c r="K924" s="16">
        <f t="shared" ca="1" si="73"/>
        <v>37.544422577453837</v>
      </c>
      <c r="L924" s="17">
        <f t="shared" si="74"/>
        <v>0.90476190476190477</v>
      </c>
      <c r="M924" s="16">
        <f t="shared" ca="1" si="76"/>
        <v>298.94761513996599</v>
      </c>
      <c r="N924" s="18">
        <f t="shared" ca="1" si="75"/>
        <v>1</v>
      </c>
    </row>
    <row r="925" spans="10:14" x14ac:dyDescent="0.25">
      <c r="J925" s="16">
        <f t="shared" ca="1" si="72"/>
        <v>5.9176683500059948</v>
      </c>
      <c r="K925" s="16">
        <f t="shared" ca="1" si="73"/>
        <v>36.470561639597342</v>
      </c>
      <c r="L925" s="17">
        <f t="shared" si="74"/>
        <v>0.90476190476190477</v>
      </c>
      <c r="M925" s="16">
        <f t="shared" ca="1" si="76"/>
        <v>195.26633705286528</v>
      </c>
      <c r="N925" s="18">
        <f t="shared" ca="1" si="75"/>
        <v>0</v>
      </c>
    </row>
    <row r="926" spans="10:14" x14ac:dyDescent="0.25">
      <c r="J926" s="16">
        <f t="shared" ca="1" si="72"/>
        <v>7.1421166685130402</v>
      </c>
      <c r="K926" s="16">
        <f t="shared" ca="1" si="73"/>
        <v>42.716261943349444</v>
      </c>
      <c r="L926" s="17">
        <f t="shared" si="74"/>
        <v>0.90476190476190477</v>
      </c>
      <c r="M926" s="16">
        <f t="shared" ca="1" si="76"/>
        <v>276.02885725719716</v>
      </c>
      <c r="N926" s="18">
        <f t="shared" ca="1" si="75"/>
        <v>1</v>
      </c>
    </row>
    <row r="927" spans="10:14" x14ac:dyDescent="0.25">
      <c r="J927" s="16">
        <f t="shared" ca="1" si="72"/>
        <v>5.9864630156514211</v>
      </c>
      <c r="K927" s="16">
        <f t="shared" ca="1" si="73"/>
        <v>39.793988953849336</v>
      </c>
      <c r="L927" s="17">
        <f t="shared" si="74"/>
        <v>0.90476190476190477</v>
      </c>
      <c r="M927" s="16">
        <f t="shared" ca="1" si="76"/>
        <v>215.53712472532118</v>
      </c>
      <c r="N927" s="18">
        <f t="shared" ca="1" si="75"/>
        <v>0</v>
      </c>
    </row>
    <row r="928" spans="10:14" x14ac:dyDescent="0.25">
      <c r="J928" s="16">
        <f t="shared" ca="1" si="72"/>
        <v>8.7552294796476176</v>
      </c>
      <c r="K928" s="16">
        <f t="shared" ca="1" si="73"/>
        <v>29.87743759428275</v>
      </c>
      <c r="L928" s="17">
        <f t="shared" si="74"/>
        <v>0.90476190476190477</v>
      </c>
      <c r="M928" s="16">
        <f t="shared" ca="1" si="76"/>
        <v>236.67107741114907</v>
      </c>
      <c r="N928" s="18">
        <f t="shared" ca="1" si="75"/>
        <v>0</v>
      </c>
    </row>
    <row r="929" spans="10:14" x14ac:dyDescent="0.25">
      <c r="J929" s="16">
        <f t="shared" ca="1" si="72"/>
        <v>6.1579734797564853</v>
      </c>
      <c r="K929" s="16">
        <f t="shared" ca="1" si="73"/>
        <v>38.498581011394798</v>
      </c>
      <c r="L929" s="17">
        <f t="shared" si="74"/>
        <v>0.90476190476190477</v>
      </c>
      <c r="M929" s="16">
        <f t="shared" ca="1" si="76"/>
        <v>214.49483698343286</v>
      </c>
      <c r="N929" s="18">
        <f t="shared" ca="1" si="75"/>
        <v>0</v>
      </c>
    </row>
    <row r="930" spans="10:14" x14ac:dyDescent="0.25">
      <c r="J930" s="16">
        <f t="shared" ca="1" si="72"/>
        <v>6.0564331346646654</v>
      </c>
      <c r="K930" s="16">
        <f t="shared" ca="1" si="73"/>
        <v>26.640358289014127</v>
      </c>
      <c r="L930" s="17">
        <f t="shared" si="74"/>
        <v>0.90476190476190477</v>
      </c>
      <c r="M930" s="16">
        <f t="shared" ca="1" si="76"/>
        <v>145.97930593131187</v>
      </c>
      <c r="N930" s="18">
        <f t="shared" ca="1" si="75"/>
        <v>0</v>
      </c>
    </row>
    <row r="931" spans="10:14" x14ac:dyDescent="0.25">
      <c r="J931" s="16">
        <f t="shared" ca="1" si="72"/>
        <v>13.418850317046315</v>
      </c>
      <c r="K931" s="16">
        <f t="shared" ca="1" si="73"/>
        <v>44.614867928061443</v>
      </c>
      <c r="L931" s="17">
        <f t="shared" si="74"/>
        <v>0.90476190476190477</v>
      </c>
      <c r="M931" s="16">
        <f t="shared" ca="1" si="76"/>
        <v>541.66306943749942</v>
      </c>
      <c r="N931" s="18">
        <f t="shared" ca="1" si="75"/>
        <v>1</v>
      </c>
    </row>
    <row r="932" spans="10:14" x14ac:dyDescent="0.25">
      <c r="J932" s="16">
        <f t="shared" ca="1" si="72"/>
        <v>6.8150892159859158</v>
      </c>
      <c r="K932" s="16">
        <f t="shared" ca="1" si="73"/>
        <v>41.686052944149523</v>
      </c>
      <c r="L932" s="17">
        <f t="shared" si="74"/>
        <v>0.90476190476190477</v>
      </c>
      <c r="M932" s="16">
        <f t="shared" ca="1" si="76"/>
        <v>257.03758226938743</v>
      </c>
      <c r="N932" s="18">
        <f t="shared" ca="1" si="75"/>
        <v>1</v>
      </c>
    </row>
    <row r="933" spans="10:14" x14ac:dyDescent="0.25">
      <c r="J933" s="16">
        <f t="shared" ca="1" si="72"/>
        <v>9.5583771146919734</v>
      </c>
      <c r="K933" s="16">
        <f t="shared" ca="1" si="73"/>
        <v>36.203629067984025</v>
      </c>
      <c r="L933" s="17">
        <f t="shared" si="74"/>
        <v>0.90476190476190477</v>
      </c>
      <c r="M933" s="16">
        <f t="shared" ca="1" si="76"/>
        <v>313.09099292819508</v>
      </c>
      <c r="N933" s="18">
        <f t="shared" ca="1" si="75"/>
        <v>1</v>
      </c>
    </row>
    <row r="934" spans="10:14" x14ac:dyDescent="0.25">
      <c r="J934" s="16">
        <f t="shared" ca="1" si="72"/>
        <v>3.6219789804298874</v>
      </c>
      <c r="K934" s="16">
        <f t="shared" ca="1" si="73"/>
        <v>37.72967380528803</v>
      </c>
      <c r="L934" s="17">
        <f t="shared" si="74"/>
        <v>0.90476190476190477</v>
      </c>
      <c r="M934" s="16">
        <f t="shared" ca="1" si="76"/>
        <v>123.64122017920752</v>
      </c>
      <c r="N934" s="18">
        <f t="shared" ca="1" si="75"/>
        <v>0</v>
      </c>
    </row>
    <row r="935" spans="10:14" x14ac:dyDescent="0.25">
      <c r="J935" s="16">
        <f t="shared" ca="1" si="72"/>
        <v>10.664184123156771</v>
      </c>
      <c r="K935" s="16">
        <f t="shared" ca="1" si="73"/>
        <v>21.323255340097589</v>
      </c>
      <c r="L935" s="17">
        <f t="shared" si="74"/>
        <v>0.90476190476190477</v>
      </c>
      <c r="M935" s="16">
        <f t="shared" ca="1" si="76"/>
        <v>205.73844285646877</v>
      </c>
      <c r="N935" s="18">
        <f t="shared" ca="1" si="75"/>
        <v>0</v>
      </c>
    </row>
    <row r="936" spans="10:14" x14ac:dyDescent="0.25">
      <c r="J936" s="16">
        <f t="shared" ca="1" si="72"/>
        <v>6.8871485493782556</v>
      </c>
      <c r="K936" s="16">
        <f t="shared" ca="1" si="73"/>
        <v>43.814300904748677</v>
      </c>
      <c r="L936" s="17">
        <f t="shared" si="74"/>
        <v>0.90476190476190477</v>
      </c>
      <c r="M936" s="16">
        <f t="shared" ca="1" si="76"/>
        <v>273.01697044976584</v>
      </c>
      <c r="N936" s="18">
        <f t="shared" ca="1" si="75"/>
        <v>1</v>
      </c>
    </row>
    <row r="937" spans="10:14" x14ac:dyDescent="0.25">
      <c r="J937" s="16">
        <f t="shared" ca="1" si="72"/>
        <v>3.9058513485475292</v>
      </c>
      <c r="K937" s="16">
        <f t="shared" ca="1" si="73"/>
        <v>42.151333176572862</v>
      </c>
      <c r="L937" s="17">
        <f t="shared" si="74"/>
        <v>0.90476190476190477</v>
      </c>
      <c r="M937" s="16">
        <f t="shared" ca="1" si="76"/>
        <v>148.95714233738445</v>
      </c>
      <c r="N937" s="18">
        <f t="shared" ca="1" si="75"/>
        <v>0</v>
      </c>
    </row>
    <row r="938" spans="10:14" x14ac:dyDescent="0.25">
      <c r="J938" s="16">
        <f t="shared" ca="1" si="72"/>
        <v>13.398640615474562</v>
      </c>
      <c r="K938" s="16">
        <f t="shared" ca="1" si="73"/>
        <v>20.346432904555474</v>
      </c>
      <c r="L938" s="17">
        <f t="shared" si="74"/>
        <v>0.90476190476190477</v>
      </c>
      <c r="M938" s="16">
        <f t="shared" ca="1" si="76"/>
        <v>246.65125255262362</v>
      </c>
      <c r="N938" s="18">
        <f t="shared" ca="1" si="75"/>
        <v>1</v>
      </c>
    </row>
    <row r="939" spans="10:14" x14ac:dyDescent="0.25">
      <c r="J939" s="16">
        <f t="shared" ca="1" si="72"/>
        <v>9.6061842368081685</v>
      </c>
      <c r="K939" s="16">
        <f t="shared" ca="1" si="73"/>
        <v>29.425666325525171</v>
      </c>
      <c r="L939" s="17">
        <f t="shared" si="74"/>
        <v>0.90476190476190477</v>
      </c>
      <c r="M939" s="16">
        <f t="shared" ca="1" si="76"/>
        <v>255.74757467918573</v>
      </c>
      <c r="N939" s="18">
        <f t="shared" ca="1" si="75"/>
        <v>1</v>
      </c>
    </row>
    <row r="940" spans="10:14" x14ac:dyDescent="0.25">
      <c r="J940" s="16">
        <f t="shared" ca="1" si="72"/>
        <v>12.571494463944195</v>
      </c>
      <c r="K940" s="16">
        <f t="shared" ca="1" si="73"/>
        <v>34.917734202821443</v>
      </c>
      <c r="L940" s="17">
        <f t="shared" si="74"/>
        <v>0.90476190476190477</v>
      </c>
      <c r="M940" s="16">
        <f t="shared" ca="1" si="76"/>
        <v>397.16161629812609</v>
      </c>
      <c r="N940" s="18">
        <f t="shared" ca="1" si="75"/>
        <v>1</v>
      </c>
    </row>
    <row r="941" spans="10:14" x14ac:dyDescent="0.25">
      <c r="J941" s="16">
        <f t="shared" ca="1" si="72"/>
        <v>7.117911095146721</v>
      </c>
      <c r="K941" s="16">
        <f t="shared" ca="1" si="73"/>
        <v>25.724308454353441</v>
      </c>
      <c r="L941" s="17">
        <f t="shared" si="74"/>
        <v>0.90476190476190477</v>
      </c>
      <c r="M941" s="16">
        <f t="shared" ca="1" si="76"/>
        <v>165.66492717534098</v>
      </c>
      <c r="N941" s="18">
        <f t="shared" ca="1" si="75"/>
        <v>0</v>
      </c>
    </row>
    <row r="942" spans="10:14" x14ac:dyDescent="0.25">
      <c r="J942" s="16">
        <f t="shared" ca="1" si="72"/>
        <v>9.823898255561069</v>
      </c>
      <c r="K942" s="16">
        <f t="shared" ca="1" si="73"/>
        <v>25.959129771165806</v>
      </c>
      <c r="L942" s="17">
        <f t="shared" si="74"/>
        <v>0.90476190476190477</v>
      </c>
      <c r="M942" s="16">
        <f t="shared" ca="1" si="76"/>
        <v>230.73224494390212</v>
      </c>
      <c r="N942" s="18">
        <f t="shared" ca="1" si="75"/>
        <v>0</v>
      </c>
    </row>
    <row r="943" spans="10:14" x14ac:dyDescent="0.25">
      <c r="J943" s="16">
        <f t="shared" ca="1" si="72"/>
        <v>5.5886474070716634</v>
      </c>
      <c r="K943" s="16">
        <f t="shared" ca="1" si="73"/>
        <v>45.751205707248388</v>
      </c>
      <c r="L943" s="17">
        <f t="shared" si="74"/>
        <v>0.90476190476190477</v>
      </c>
      <c r="M943" s="16">
        <f t="shared" ca="1" si="76"/>
        <v>231.3361802751478</v>
      </c>
      <c r="N943" s="18">
        <f t="shared" ca="1" si="75"/>
        <v>0</v>
      </c>
    </row>
    <row r="944" spans="10:14" x14ac:dyDescent="0.25">
      <c r="J944" s="16">
        <f t="shared" ca="1" si="72"/>
        <v>7.2309271013870084</v>
      </c>
      <c r="K944" s="16">
        <f t="shared" ca="1" si="73"/>
        <v>30.541267044163732</v>
      </c>
      <c r="L944" s="17">
        <f t="shared" si="74"/>
        <v>0.90476190476190477</v>
      </c>
      <c r="M944" s="16">
        <f t="shared" ca="1" si="76"/>
        <v>199.80913504888034</v>
      </c>
      <c r="N944" s="18">
        <f t="shared" ca="1" si="75"/>
        <v>0</v>
      </c>
    </row>
    <row r="945" spans="10:14" x14ac:dyDescent="0.25">
      <c r="J945" s="16">
        <f t="shared" ca="1" si="72"/>
        <v>8.7664128636476626</v>
      </c>
      <c r="K945" s="16">
        <f t="shared" ca="1" si="73"/>
        <v>28.599097929859898</v>
      </c>
      <c r="L945" s="17">
        <f t="shared" si="74"/>
        <v>0.90476190476190477</v>
      </c>
      <c r="M945" s="16">
        <f t="shared" ca="1" si="76"/>
        <v>226.83421426856273</v>
      </c>
      <c r="N945" s="18">
        <f t="shared" ca="1" si="75"/>
        <v>0</v>
      </c>
    </row>
    <row r="946" spans="10:14" x14ac:dyDescent="0.25">
      <c r="J946" s="16">
        <f t="shared" ca="1" si="72"/>
        <v>10.450924047331302</v>
      </c>
      <c r="K946" s="16">
        <f t="shared" ca="1" si="73"/>
        <v>40.398690308512144</v>
      </c>
      <c r="L946" s="17">
        <f t="shared" si="74"/>
        <v>0.90476190476190477</v>
      </c>
      <c r="M946" s="16">
        <f t="shared" ca="1" si="76"/>
        <v>381.99377316630819</v>
      </c>
      <c r="N946" s="18">
        <f t="shared" ca="1" si="75"/>
        <v>1</v>
      </c>
    </row>
    <row r="947" spans="10:14" x14ac:dyDescent="0.25">
      <c r="J947" s="16">
        <f t="shared" ca="1" si="72"/>
        <v>10.164801081340064</v>
      </c>
      <c r="K947" s="16">
        <f t="shared" ca="1" si="73"/>
        <v>28.455188863679005</v>
      </c>
      <c r="L947" s="17">
        <f t="shared" si="74"/>
        <v>0.90476190476190477</v>
      </c>
      <c r="M947" s="16">
        <f t="shared" ca="1" si="76"/>
        <v>261.69454076637822</v>
      </c>
      <c r="N947" s="18">
        <f t="shared" ca="1" si="75"/>
        <v>1</v>
      </c>
    </row>
    <row r="948" spans="10:14" x14ac:dyDescent="0.25">
      <c r="J948" s="16">
        <f t="shared" ca="1" si="72"/>
        <v>12.010855473333372</v>
      </c>
      <c r="K948" s="16">
        <f t="shared" ca="1" si="73"/>
        <v>29.674364487575467</v>
      </c>
      <c r="L948" s="17">
        <f t="shared" si="74"/>
        <v>0.90476190476190477</v>
      </c>
      <c r="M948" s="16">
        <f t="shared" ca="1" si="76"/>
        <v>322.4702647305914</v>
      </c>
      <c r="N948" s="18">
        <f t="shared" ca="1" si="75"/>
        <v>1</v>
      </c>
    </row>
    <row r="949" spans="10:14" x14ac:dyDescent="0.25">
      <c r="J949" s="16">
        <f t="shared" ca="1" si="72"/>
        <v>9.4491249430296449</v>
      </c>
      <c r="K949" s="16">
        <f t="shared" ca="1" si="73"/>
        <v>34.273232632314546</v>
      </c>
      <c r="L949" s="17">
        <f t="shared" si="74"/>
        <v>0.90476190476190477</v>
      </c>
      <c r="M949" s="16">
        <f t="shared" ca="1" si="76"/>
        <v>293.00900426385516</v>
      </c>
      <c r="N949" s="18">
        <f t="shared" ca="1" si="75"/>
        <v>1</v>
      </c>
    </row>
    <row r="950" spans="10:14" x14ac:dyDescent="0.25">
      <c r="J950" s="16">
        <f t="shared" ca="1" si="72"/>
        <v>7.1689553884175883</v>
      </c>
      <c r="K950" s="16">
        <f t="shared" ca="1" si="73"/>
        <v>27.880917883296494</v>
      </c>
      <c r="L950" s="17">
        <f t="shared" si="74"/>
        <v>0.90476190476190477</v>
      </c>
      <c r="M950" s="16">
        <f t="shared" ca="1" si="76"/>
        <v>180.84114635124988</v>
      </c>
      <c r="N950" s="18">
        <f t="shared" ca="1" si="75"/>
        <v>0</v>
      </c>
    </row>
    <row r="951" spans="10:14" x14ac:dyDescent="0.25">
      <c r="J951" s="16">
        <f t="shared" ca="1" si="72"/>
        <v>7.1589976555057815</v>
      </c>
      <c r="K951" s="16">
        <f t="shared" ca="1" si="73"/>
        <v>26.762896771717259</v>
      </c>
      <c r="L951" s="17">
        <f t="shared" si="74"/>
        <v>0.90476190476190477</v>
      </c>
      <c r="M951" s="16">
        <f t="shared" ca="1" si="76"/>
        <v>173.3483233153369</v>
      </c>
      <c r="N951" s="18">
        <f t="shared" ca="1" si="75"/>
        <v>0</v>
      </c>
    </row>
    <row r="952" spans="10:14" x14ac:dyDescent="0.25">
      <c r="J952" s="16">
        <f t="shared" ca="1" si="72"/>
        <v>7.3406426290158464</v>
      </c>
      <c r="K952" s="16">
        <f t="shared" ca="1" si="73"/>
        <v>20.31856147629659</v>
      </c>
      <c r="L952" s="17">
        <f t="shared" si="74"/>
        <v>0.90476190476190477</v>
      </c>
      <c r="M952" s="16">
        <f t="shared" ca="1" si="76"/>
        <v>134.94641295859316</v>
      </c>
      <c r="N952" s="18">
        <f t="shared" ca="1" si="75"/>
        <v>0</v>
      </c>
    </row>
    <row r="953" spans="10:14" x14ac:dyDescent="0.25">
      <c r="J953" s="16">
        <f t="shared" ca="1" si="72"/>
        <v>12.053660811006893</v>
      </c>
      <c r="K953" s="16">
        <f t="shared" ca="1" si="73"/>
        <v>39.44923650488365</v>
      </c>
      <c r="L953" s="17">
        <f t="shared" si="74"/>
        <v>0.90476190476190477</v>
      </c>
      <c r="M953" s="16">
        <f t="shared" ca="1" si="76"/>
        <v>430.22126693229109</v>
      </c>
      <c r="N953" s="18">
        <f t="shared" ca="1" si="75"/>
        <v>1</v>
      </c>
    </row>
    <row r="954" spans="10:14" x14ac:dyDescent="0.25">
      <c r="J954" s="16">
        <f t="shared" ca="1" si="72"/>
        <v>6.868688940170764</v>
      </c>
      <c r="K954" s="16">
        <f t="shared" ca="1" si="73"/>
        <v>23.06008014912436</v>
      </c>
      <c r="L954" s="17">
        <f t="shared" si="74"/>
        <v>0.90476190476190477</v>
      </c>
      <c r="M954" s="16">
        <f t="shared" ca="1" si="76"/>
        <v>143.30751581500456</v>
      </c>
      <c r="N954" s="18">
        <f t="shared" ca="1" si="75"/>
        <v>0</v>
      </c>
    </row>
    <row r="955" spans="10:14" x14ac:dyDescent="0.25">
      <c r="J955" s="16">
        <f t="shared" ca="1" si="72"/>
        <v>5.0831801264733025</v>
      </c>
      <c r="K955" s="16">
        <f t="shared" ca="1" si="73"/>
        <v>35.412412449602229</v>
      </c>
      <c r="L955" s="17">
        <f t="shared" si="74"/>
        <v>0.90476190476190477</v>
      </c>
      <c r="M955" s="16">
        <f t="shared" ca="1" si="76"/>
        <v>162.86408346150392</v>
      </c>
      <c r="N955" s="18">
        <f t="shared" ca="1" si="75"/>
        <v>0</v>
      </c>
    </row>
    <row r="956" spans="10:14" x14ac:dyDescent="0.25">
      <c r="J956" s="16">
        <f t="shared" ca="1" si="72"/>
        <v>7.7615413501305701</v>
      </c>
      <c r="K956" s="16">
        <f t="shared" ca="1" si="73"/>
        <v>30.122920873733975</v>
      </c>
      <c r="L956" s="17">
        <f t="shared" si="74"/>
        <v>0.90476190476190477</v>
      </c>
      <c r="M956" s="16">
        <f t="shared" ca="1" si="76"/>
        <v>211.53360109598822</v>
      </c>
      <c r="N956" s="18">
        <f t="shared" ca="1" si="75"/>
        <v>0</v>
      </c>
    </row>
    <row r="957" spans="10:14" x14ac:dyDescent="0.25">
      <c r="J957" s="16">
        <f t="shared" ca="1" si="72"/>
        <v>5.6024853891111084</v>
      </c>
      <c r="K957" s="16">
        <f t="shared" ca="1" si="73"/>
        <v>24.549004743631677</v>
      </c>
      <c r="L957" s="17">
        <f t="shared" si="74"/>
        <v>0.90476190476190477</v>
      </c>
      <c r="M957" s="16">
        <f t="shared" ca="1" si="76"/>
        <v>124.43682702261427</v>
      </c>
      <c r="N957" s="18">
        <f t="shared" ca="1" si="75"/>
        <v>0</v>
      </c>
    </row>
    <row r="958" spans="10:14" x14ac:dyDescent="0.25">
      <c r="J958" s="16">
        <f t="shared" ca="1" si="72"/>
        <v>6.288059786433406</v>
      </c>
      <c r="K958" s="16">
        <f t="shared" ca="1" si="73"/>
        <v>38.618232119846191</v>
      </c>
      <c r="L958" s="17">
        <f t="shared" si="74"/>
        <v>0.90476190476190477</v>
      </c>
      <c r="M958" s="16">
        <f t="shared" ca="1" si="76"/>
        <v>219.70672837634089</v>
      </c>
      <c r="N958" s="18">
        <f t="shared" ca="1" si="75"/>
        <v>0</v>
      </c>
    </row>
    <row r="959" spans="10:14" x14ac:dyDescent="0.25">
      <c r="J959" s="16">
        <f t="shared" ca="1" si="72"/>
        <v>10.431369889386918</v>
      </c>
      <c r="K959" s="16">
        <f t="shared" ca="1" si="73"/>
        <v>26.608932395256485</v>
      </c>
      <c r="L959" s="17">
        <f t="shared" si="74"/>
        <v>0.90476190476190477</v>
      </c>
      <c r="M959" s="16">
        <f t="shared" ca="1" si="76"/>
        <v>251.13260511217152</v>
      </c>
      <c r="N959" s="18">
        <f t="shared" ca="1" si="75"/>
        <v>1</v>
      </c>
    </row>
    <row r="960" spans="10:14" x14ac:dyDescent="0.25">
      <c r="J960" s="16">
        <f t="shared" ca="1" si="72"/>
        <v>10.435144795091745</v>
      </c>
      <c r="K960" s="16">
        <f t="shared" ca="1" si="73"/>
        <v>36.463701353188213</v>
      </c>
      <c r="L960" s="17">
        <f t="shared" si="74"/>
        <v>0.90476190476190477</v>
      </c>
      <c r="M960" s="16">
        <f t="shared" ca="1" si="76"/>
        <v>344.26552687259687</v>
      </c>
      <c r="N960" s="18">
        <f t="shared" ca="1" si="75"/>
        <v>1</v>
      </c>
    </row>
    <row r="961" spans="10:14" x14ac:dyDescent="0.25">
      <c r="J961" s="16">
        <f t="shared" ca="1" si="72"/>
        <v>4.9755856400946801</v>
      </c>
      <c r="K961" s="16">
        <f t="shared" ca="1" si="73"/>
        <v>32.463398554268537</v>
      </c>
      <c r="L961" s="17">
        <f t="shared" si="74"/>
        <v>0.90476190476190477</v>
      </c>
      <c r="M961" s="16">
        <f t="shared" ca="1" si="76"/>
        <v>146.14114161097569</v>
      </c>
      <c r="N961" s="18">
        <f t="shared" ca="1" si="75"/>
        <v>0</v>
      </c>
    </row>
    <row r="962" spans="10:14" x14ac:dyDescent="0.25">
      <c r="J962" s="16">
        <f t="shared" ca="1" si="72"/>
        <v>11.907653614544007</v>
      </c>
      <c r="K962" s="16">
        <f t="shared" ca="1" si="73"/>
        <v>21.450133982202509</v>
      </c>
      <c r="L962" s="17">
        <f t="shared" si="74"/>
        <v>0.90476190476190477</v>
      </c>
      <c r="M962" s="16">
        <f t="shared" ca="1" si="76"/>
        <v>231.09497826032913</v>
      </c>
      <c r="N962" s="18">
        <f t="shared" ca="1" si="75"/>
        <v>0</v>
      </c>
    </row>
    <row r="963" spans="10:14" x14ac:dyDescent="0.25">
      <c r="J963" s="16">
        <f t="shared" ca="1" si="72"/>
        <v>10.207412323681663</v>
      </c>
      <c r="K963" s="16">
        <f t="shared" ca="1" si="73"/>
        <v>45.498741067238747</v>
      </c>
      <c r="L963" s="17">
        <f t="shared" si="74"/>
        <v>0.90476190476190477</v>
      </c>
      <c r="M963" s="16">
        <f t="shared" ca="1" si="76"/>
        <v>420.19351406442576</v>
      </c>
      <c r="N963" s="18">
        <f t="shared" ca="1" si="75"/>
        <v>1</v>
      </c>
    </row>
    <row r="964" spans="10:14" x14ac:dyDescent="0.25">
      <c r="J964" s="16">
        <f t="shared" ref="J964:J1002" ca="1" si="77">$D$2*(-LN(1-RAND()))^(1/$D$3)</f>
        <v>10.414318976094254</v>
      </c>
      <c r="K964" s="16">
        <f t="shared" ref="K964:K1002" ca="1" si="78">RAND()*($H$3-$H$2)+$H$2</f>
        <v>33.606295346072415</v>
      </c>
      <c r="L964" s="17">
        <f t="shared" ref="L964:L1002" si="79">$D$22</f>
        <v>0.90476190476190477</v>
      </c>
      <c r="M964" s="16">
        <f t="shared" ca="1" si="76"/>
        <v>316.65461463989379</v>
      </c>
      <c r="N964" s="18">
        <f t="shared" ref="N964:N1002" ca="1" si="80">IF(M964&gt;$R$2,1,0)</f>
        <v>1</v>
      </c>
    </row>
    <row r="965" spans="10:14" x14ac:dyDescent="0.25">
      <c r="J965" s="16">
        <f t="shared" ca="1" si="77"/>
        <v>5.2304557403550387</v>
      </c>
      <c r="K965" s="16">
        <f t="shared" ca="1" si="78"/>
        <v>42.946332965595076</v>
      </c>
      <c r="L965" s="17">
        <f t="shared" si="79"/>
        <v>0.90476190476190477</v>
      </c>
      <c r="M965" s="16">
        <f t="shared" ca="1" si="76"/>
        <v>203.23566580737221</v>
      </c>
      <c r="N965" s="18">
        <f t="shared" ca="1" si="80"/>
        <v>0</v>
      </c>
    </row>
    <row r="966" spans="10:14" x14ac:dyDescent="0.25">
      <c r="J966" s="16">
        <f t="shared" ca="1" si="77"/>
        <v>10.155784194818045</v>
      </c>
      <c r="K966" s="16">
        <f t="shared" ca="1" si="78"/>
        <v>27.855993646158748</v>
      </c>
      <c r="L966" s="17">
        <f t="shared" si="79"/>
        <v>0.90476190476190477</v>
      </c>
      <c r="M966" s="16">
        <f t="shared" ca="1" si="76"/>
        <v>255.95665428807655</v>
      </c>
      <c r="N966" s="18">
        <f t="shared" ca="1" si="80"/>
        <v>1</v>
      </c>
    </row>
    <row r="967" spans="10:14" x14ac:dyDescent="0.25">
      <c r="J967" s="16">
        <f t="shared" ca="1" si="77"/>
        <v>8.7679858685966288</v>
      </c>
      <c r="K967" s="16">
        <f t="shared" ca="1" si="78"/>
        <v>28.991741982546039</v>
      </c>
      <c r="L967" s="17">
        <f t="shared" si="79"/>
        <v>0.90476190476190477</v>
      </c>
      <c r="M967" s="16">
        <f t="shared" ca="1" si="76"/>
        <v>229.98973791287153</v>
      </c>
      <c r="N967" s="18">
        <f t="shared" ca="1" si="80"/>
        <v>0</v>
      </c>
    </row>
    <row r="968" spans="10:14" x14ac:dyDescent="0.25">
      <c r="J968" s="16">
        <f t="shared" ca="1" si="77"/>
        <v>8.585276184477781</v>
      </c>
      <c r="K968" s="16">
        <f t="shared" ca="1" si="78"/>
        <v>35.951112382793333</v>
      </c>
      <c r="L968" s="17">
        <f t="shared" si="79"/>
        <v>0.90476190476190477</v>
      </c>
      <c r="M968" s="16">
        <f t="shared" ca="1" si="76"/>
        <v>279.25496904591034</v>
      </c>
      <c r="N968" s="18">
        <f t="shared" ca="1" si="80"/>
        <v>1</v>
      </c>
    </row>
    <row r="969" spans="10:14" x14ac:dyDescent="0.25">
      <c r="J969" s="16">
        <f t="shared" ca="1" si="77"/>
        <v>4.9086018432621703</v>
      </c>
      <c r="K969" s="16">
        <f t="shared" ca="1" si="78"/>
        <v>44.557089282448558</v>
      </c>
      <c r="L969" s="17">
        <f t="shared" si="79"/>
        <v>0.90476190476190477</v>
      </c>
      <c r="M969" s="16">
        <f t="shared" ca="1" si="76"/>
        <v>197.8832000505837</v>
      </c>
      <c r="N969" s="18">
        <f t="shared" ca="1" si="80"/>
        <v>0</v>
      </c>
    </row>
    <row r="970" spans="10:14" x14ac:dyDescent="0.25">
      <c r="J970" s="16">
        <f t="shared" ca="1" si="77"/>
        <v>16.350136921413359</v>
      </c>
      <c r="K970" s="16">
        <f t="shared" ca="1" si="78"/>
        <v>25.485060822184952</v>
      </c>
      <c r="L970" s="17">
        <f t="shared" si="79"/>
        <v>0.90476190476190477</v>
      </c>
      <c r="M970" s="16">
        <f t="shared" ca="1" si="76"/>
        <v>377.00002114153114</v>
      </c>
      <c r="N970" s="18">
        <f t="shared" ca="1" si="80"/>
        <v>1</v>
      </c>
    </row>
    <row r="971" spans="10:14" x14ac:dyDescent="0.25">
      <c r="J971" s="16">
        <f t="shared" ca="1" si="77"/>
        <v>4.1378954388118032</v>
      </c>
      <c r="K971" s="16">
        <f t="shared" ca="1" si="78"/>
        <v>26.731235789977013</v>
      </c>
      <c r="L971" s="17">
        <f t="shared" si="79"/>
        <v>0.90476190476190477</v>
      </c>
      <c r="M971" s="16">
        <f t="shared" ca="1" si="76"/>
        <v>100.07667211113456</v>
      </c>
      <c r="N971" s="18">
        <f t="shared" ca="1" si="80"/>
        <v>0</v>
      </c>
    </row>
    <row r="972" spans="10:14" x14ac:dyDescent="0.25">
      <c r="J972" s="16">
        <f t="shared" ca="1" si="77"/>
        <v>9.3656551480328183</v>
      </c>
      <c r="K972" s="16">
        <f t="shared" ca="1" si="78"/>
        <v>43.014039329666687</v>
      </c>
      <c r="L972" s="17">
        <f t="shared" si="79"/>
        <v>0.90476190476190477</v>
      </c>
      <c r="M972" s="16">
        <f t="shared" ca="1" si="76"/>
        <v>364.48754851552383</v>
      </c>
      <c r="N972" s="18">
        <f t="shared" ca="1" si="80"/>
        <v>1</v>
      </c>
    </row>
    <row r="973" spans="10:14" x14ac:dyDescent="0.25">
      <c r="J973" s="16">
        <f t="shared" ca="1" si="77"/>
        <v>11.649259869444096</v>
      </c>
      <c r="K973" s="16">
        <f t="shared" ca="1" si="78"/>
        <v>20.731303756336665</v>
      </c>
      <c r="L973" s="17">
        <f t="shared" si="79"/>
        <v>0.90476190476190477</v>
      </c>
      <c r="M973" s="16">
        <f t="shared" ca="1" si="76"/>
        <v>218.50393109090567</v>
      </c>
      <c r="N973" s="18">
        <f t="shared" ca="1" si="80"/>
        <v>0</v>
      </c>
    </row>
    <row r="974" spans="10:14" x14ac:dyDescent="0.25">
      <c r="J974" s="16">
        <f t="shared" ca="1" si="77"/>
        <v>7.6826621804178288</v>
      </c>
      <c r="K974" s="16">
        <f t="shared" ca="1" si="78"/>
        <v>37.494482916460285</v>
      </c>
      <c r="L974" s="17">
        <f t="shared" si="79"/>
        <v>0.90476190476190477</v>
      </c>
      <c r="M974" s="16">
        <f t="shared" ca="1" si="76"/>
        <v>260.62340341217259</v>
      </c>
      <c r="N974" s="18">
        <f t="shared" ca="1" si="80"/>
        <v>1</v>
      </c>
    </row>
    <row r="975" spans="10:14" x14ac:dyDescent="0.25">
      <c r="J975" s="16">
        <f t="shared" ca="1" si="77"/>
        <v>6.8718067864874719</v>
      </c>
      <c r="K975" s="16">
        <f t="shared" ca="1" si="78"/>
        <v>23.287891622357769</v>
      </c>
      <c r="L975" s="17">
        <f t="shared" si="79"/>
        <v>0.90476190476190477</v>
      </c>
      <c r="M975" s="16">
        <f t="shared" ca="1" si="76"/>
        <v>144.78894962745497</v>
      </c>
      <c r="N975" s="18">
        <f t="shared" ca="1" si="80"/>
        <v>0</v>
      </c>
    </row>
    <row r="976" spans="10:14" x14ac:dyDescent="0.25">
      <c r="J976" s="16">
        <f t="shared" ca="1" si="77"/>
        <v>13.752479993007379</v>
      </c>
      <c r="K976" s="16">
        <f t="shared" ca="1" si="78"/>
        <v>31.51488824170459</v>
      </c>
      <c r="L976" s="17">
        <f t="shared" si="79"/>
        <v>0.90476190476190477</v>
      </c>
      <c r="M976" s="16">
        <f t="shared" ca="1" si="76"/>
        <v>392.13093002343868</v>
      </c>
      <c r="N976" s="18">
        <f t="shared" ca="1" si="80"/>
        <v>1</v>
      </c>
    </row>
    <row r="977" spans="10:14" x14ac:dyDescent="0.25">
      <c r="J977" s="16">
        <f t="shared" ca="1" si="77"/>
        <v>9.5818270320608274</v>
      </c>
      <c r="K977" s="16">
        <f t="shared" ca="1" si="78"/>
        <v>43.646383955808865</v>
      </c>
      <c r="L977" s="17">
        <f t="shared" si="79"/>
        <v>0.90476190476190477</v>
      </c>
      <c r="M977" s="16">
        <f t="shared" ca="1" si="76"/>
        <v>378.38237767381105</v>
      </c>
      <c r="N977" s="18">
        <f t="shared" ca="1" si="80"/>
        <v>1</v>
      </c>
    </row>
    <row r="978" spans="10:14" x14ac:dyDescent="0.25">
      <c r="J978" s="16">
        <f t="shared" ca="1" si="77"/>
        <v>4.2967877365561833</v>
      </c>
      <c r="K978" s="16">
        <f t="shared" ca="1" si="78"/>
        <v>40.110783900199266</v>
      </c>
      <c r="L978" s="17">
        <f t="shared" si="79"/>
        <v>0.90476190476190477</v>
      </c>
      <c r="M978" s="16">
        <f t="shared" ca="1" si="76"/>
        <v>155.93347442640936</v>
      </c>
      <c r="N978" s="18">
        <f t="shared" ca="1" si="80"/>
        <v>0</v>
      </c>
    </row>
    <row r="979" spans="10:14" x14ac:dyDescent="0.25">
      <c r="J979" s="16">
        <f t="shared" ca="1" si="77"/>
        <v>5.868983780201007</v>
      </c>
      <c r="K979" s="16">
        <f t="shared" ca="1" si="78"/>
        <v>23.928394035539732</v>
      </c>
      <c r="L979" s="17">
        <f t="shared" si="79"/>
        <v>0.90476190476190477</v>
      </c>
      <c r="M979" s="16">
        <f t="shared" ref="M979:M1002" ca="1" si="81">J979*K979*L979</f>
        <v>127.06056062552298</v>
      </c>
      <c r="N979" s="18">
        <f t="shared" ca="1" si="80"/>
        <v>0</v>
      </c>
    </row>
    <row r="980" spans="10:14" x14ac:dyDescent="0.25">
      <c r="J980" s="16">
        <f t="shared" ca="1" si="77"/>
        <v>7.9758620785368057</v>
      </c>
      <c r="K980" s="16">
        <f t="shared" ca="1" si="78"/>
        <v>42.5114439150735</v>
      </c>
      <c r="L980" s="17">
        <f t="shared" si="79"/>
        <v>0.90476190476190477</v>
      </c>
      <c r="M980" s="16">
        <f t="shared" ca="1" si="81"/>
        <v>306.77346929026191</v>
      </c>
      <c r="N980" s="18">
        <f t="shared" ca="1" si="80"/>
        <v>1</v>
      </c>
    </row>
    <row r="981" spans="10:14" x14ac:dyDescent="0.25">
      <c r="J981" s="16">
        <f t="shared" ca="1" si="77"/>
        <v>11.940244010626998</v>
      </c>
      <c r="K981" s="16">
        <f t="shared" ca="1" si="78"/>
        <v>42.962522866617967</v>
      </c>
      <c r="L981" s="17">
        <f t="shared" si="79"/>
        <v>0.90476190476190477</v>
      </c>
      <c r="M981" s="16">
        <f t="shared" ca="1" si="81"/>
        <v>464.12748192626907</v>
      </c>
      <c r="N981" s="18">
        <f t="shared" ca="1" si="80"/>
        <v>1</v>
      </c>
    </row>
    <row r="982" spans="10:14" x14ac:dyDescent="0.25">
      <c r="J982" s="16">
        <f t="shared" ca="1" si="77"/>
        <v>1.0967916184863442</v>
      </c>
      <c r="K982" s="16">
        <f t="shared" ca="1" si="78"/>
        <v>30.362777980012403</v>
      </c>
      <c r="L982" s="17">
        <f t="shared" si="79"/>
        <v>0.90476190476190477</v>
      </c>
      <c r="M982" s="16">
        <f t="shared" ca="1" si="81"/>
        <v>30.130055602207023</v>
      </c>
      <c r="N982" s="18">
        <f t="shared" ca="1" si="80"/>
        <v>0</v>
      </c>
    </row>
    <row r="983" spans="10:14" x14ac:dyDescent="0.25">
      <c r="J983" s="16">
        <f t="shared" ca="1" si="77"/>
        <v>10.014275096741414</v>
      </c>
      <c r="K983" s="16">
        <f t="shared" ca="1" si="78"/>
        <v>42.000917620159399</v>
      </c>
      <c r="L983" s="17">
        <f t="shared" si="79"/>
        <v>0.90476190476190477</v>
      </c>
      <c r="M983" s="16">
        <f t="shared" ca="1" si="81"/>
        <v>380.55076780538803</v>
      </c>
      <c r="N983" s="18">
        <f t="shared" ca="1" si="80"/>
        <v>1</v>
      </c>
    </row>
    <row r="984" spans="10:14" x14ac:dyDescent="0.25">
      <c r="J984" s="16">
        <f t="shared" ca="1" si="77"/>
        <v>12.5263009027523</v>
      </c>
      <c r="K984" s="16">
        <f t="shared" ca="1" si="78"/>
        <v>36.979502980580371</v>
      </c>
      <c r="L984" s="17">
        <f t="shared" si="79"/>
        <v>0.90476190476190477</v>
      </c>
      <c r="M984" s="16">
        <f t="shared" ca="1" si="81"/>
        <v>419.10053570526338</v>
      </c>
      <c r="N984" s="18">
        <f t="shared" ca="1" si="80"/>
        <v>1</v>
      </c>
    </row>
    <row r="985" spans="10:14" x14ac:dyDescent="0.25">
      <c r="J985" s="16">
        <f t="shared" ca="1" si="77"/>
        <v>13.699050854526567</v>
      </c>
      <c r="K985" s="16">
        <f t="shared" ca="1" si="78"/>
        <v>32.029172071434736</v>
      </c>
      <c r="L985" s="17">
        <f t="shared" si="79"/>
        <v>0.90476190476190477</v>
      </c>
      <c r="M985" s="16">
        <f t="shared" ca="1" si="81"/>
        <v>396.98170874592205</v>
      </c>
      <c r="N985" s="18">
        <f t="shared" ca="1" si="80"/>
        <v>1</v>
      </c>
    </row>
    <row r="986" spans="10:14" x14ac:dyDescent="0.25">
      <c r="J986" s="16">
        <f t="shared" ca="1" si="77"/>
        <v>8.5616990678201219</v>
      </c>
      <c r="K986" s="16">
        <f t="shared" ca="1" si="78"/>
        <v>31.545263324559215</v>
      </c>
      <c r="L986" s="17">
        <f t="shared" si="79"/>
        <v>0.90476190476190477</v>
      </c>
      <c r="M986" s="16">
        <f t="shared" ca="1" si="81"/>
        <v>244.35904668573139</v>
      </c>
      <c r="N986" s="18">
        <f t="shared" ca="1" si="80"/>
        <v>1</v>
      </c>
    </row>
    <row r="987" spans="10:14" x14ac:dyDescent="0.25">
      <c r="J987" s="16">
        <f t="shared" ca="1" si="77"/>
        <v>8.0377574178354934</v>
      </c>
      <c r="K987" s="16">
        <f t="shared" ca="1" si="78"/>
        <v>33.745684552216524</v>
      </c>
      <c r="L987" s="17">
        <f t="shared" si="79"/>
        <v>0.90476190476190477</v>
      </c>
      <c r="M987" s="16">
        <f t="shared" ca="1" si="81"/>
        <v>245.40728096479927</v>
      </c>
      <c r="N987" s="18">
        <f t="shared" ca="1" si="80"/>
        <v>1</v>
      </c>
    </row>
    <row r="988" spans="10:14" x14ac:dyDescent="0.25">
      <c r="J988" s="16">
        <f t="shared" ca="1" si="77"/>
        <v>7.5962067127599937</v>
      </c>
      <c r="K988" s="16">
        <f t="shared" ca="1" si="78"/>
        <v>39.522115963291881</v>
      </c>
      <c r="L988" s="17">
        <f t="shared" si="79"/>
        <v>0.90476190476190477</v>
      </c>
      <c r="M988" s="16">
        <f t="shared" ca="1" si="81"/>
        <v>271.62595662256649</v>
      </c>
      <c r="N988" s="18">
        <f t="shared" ca="1" si="80"/>
        <v>1</v>
      </c>
    </row>
    <row r="989" spans="10:14" x14ac:dyDescent="0.25">
      <c r="J989" s="16">
        <f t="shared" ca="1" si="77"/>
        <v>9.8796647414406813</v>
      </c>
      <c r="K989" s="16">
        <f t="shared" ca="1" si="78"/>
        <v>31.055967638977219</v>
      </c>
      <c r="L989" s="17">
        <f t="shared" si="79"/>
        <v>0.90476190476190477</v>
      </c>
      <c r="M989" s="16">
        <f t="shared" ca="1" si="81"/>
        <v>277.60135339944736</v>
      </c>
      <c r="N989" s="18">
        <f t="shared" ca="1" si="80"/>
        <v>1</v>
      </c>
    </row>
    <row r="990" spans="10:14" x14ac:dyDescent="0.25">
      <c r="J990" s="16">
        <f t="shared" ca="1" si="77"/>
        <v>8.0784088026709515</v>
      </c>
      <c r="K990" s="16">
        <f t="shared" ca="1" si="78"/>
        <v>25.449301035443487</v>
      </c>
      <c r="L990" s="17">
        <f t="shared" si="79"/>
        <v>0.90476190476190477</v>
      </c>
      <c r="M990" s="16">
        <f t="shared" ca="1" si="81"/>
        <v>186.00987107735443</v>
      </c>
      <c r="N990" s="18">
        <f t="shared" ca="1" si="80"/>
        <v>0</v>
      </c>
    </row>
    <row r="991" spans="10:14" x14ac:dyDescent="0.25">
      <c r="J991" s="16">
        <f t="shared" ca="1" si="77"/>
        <v>9.7400316150535087</v>
      </c>
      <c r="K991" s="16">
        <f t="shared" ca="1" si="78"/>
        <v>31.867257775253456</v>
      </c>
      <c r="L991" s="17">
        <f t="shared" si="79"/>
        <v>0.90476190476190477</v>
      </c>
      <c r="M991" s="16">
        <f t="shared" ca="1" si="81"/>
        <v>280.82732695735905</v>
      </c>
      <c r="N991" s="18">
        <f t="shared" ca="1" si="80"/>
        <v>1</v>
      </c>
    </row>
    <row r="992" spans="10:14" x14ac:dyDescent="0.25">
      <c r="J992" s="16">
        <f t="shared" ca="1" si="77"/>
        <v>5.2096720219322483</v>
      </c>
      <c r="K992" s="16">
        <f t="shared" ca="1" si="78"/>
        <v>37.096658631389744</v>
      </c>
      <c r="L992" s="17">
        <f t="shared" si="79"/>
        <v>0.90476190476190477</v>
      </c>
      <c r="M992" s="16">
        <f t="shared" ca="1" si="81"/>
        <v>174.85557461920618</v>
      </c>
      <c r="N992" s="18">
        <f t="shared" ca="1" si="80"/>
        <v>0</v>
      </c>
    </row>
    <row r="993" spans="10:14" x14ac:dyDescent="0.25">
      <c r="J993" s="16">
        <f t="shared" ca="1" si="77"/>
        <v>8.6840533505750717</v>
      </c>
      <c r="K993" s="16">
        <f t="shared" ca="1" si="78"/>
        <v>31.08973415220925</v>
      </c>
      <c r="L993" s="17">
        <f t="shared" si="79"/>
        <v>0.90476190476190477</v>
      </c>
      <c r="M993" s="16">
        <f t="shared" ca="1" si="81"/>
        <v>244.27206145841134</v>
      </c>
      <c r="N993" s="18">
        <f t="shared" ca="1" si="80"/>
        <v>1</v>
      </c>
    </row>
    <row r="994" spans="10:14" x14ac:dyDescent="0.25">
      <c r="J994" s="16">
        <f t="shared" ca="1" si="77"/>
        <v>6.9866087360729594</v>
      </c>
      <c r="K994" s="16">
        <f t="shared" ca="1" si="78"/>
        <v>43.296723869822742</v>
      </c>
      <c r="L994" s="17">
        <f t="shared" si="79"/>
        <v>0.90476190476190477</v>
      </c>
      <c r="M994" s="16">
        <f t="shared" ca="1" si="81"/>
        <v>273.68800549583818</v>
      </c>
      <c r="N994" s="18">
        <f t="shared" ca="1" si="80"/>
        <v>1</v>
      </c>
    </row>
    <row r="995" spans="10:14" x14ac:dyDescent="0.25">
      <c r="J995" s="16">
        <f t="shared" ca="1" si="77"/>
        <v>3.1946103433256665</v>
      </c>
      <c r="K995" s="16">
        <f t="shared" ca="1" si="78"/>
        <v>37.16177433739194</v>
      </c>
      <c r="L995" s="17">
        <f t="shared" si="79"/>
        <v>0.90476190476190477</v>
      </c>
      <c r="M995" s="16">
        <f t="shared" ca="1" si="81"/>
        <v>107.41097070556026</v>
      </c>
      <c r="N995" s="18">
        <f t="shared" ca="1" si="80"/>
        <v>0</v>
      </c>
    </row>
    <row r="996" spans="10:14" x14ac:dyDescent="0.25">
      <c r="J996" s="16">
        <f t="shared" ca="1" si="77"/>
        <v>13.688368176302099</v>
      </c>
      <c r="K996" s="16">
        <f t="shared" ca="1" si="78"/>
        <v>37.981866991485212</v>
      </c>
      <c r="L996" s="17">
        <f t="shared" si="79"/>
        <v>0.90476190476190477</v>
      </c>
      <c r="M996" s="16">
        <f t="shared" ca="1" si="81"/>
        <v>470.39456231680583</v>
      </c>
      <c r="N996" s="18">
        <f t="shared" ca="1" si="80"/>
        <v>1</v>
      </c>
    </row>
    <row r="997" spans="10:14" x14ac:dyDescent="0.25">
      <c r="J997" s="16">
        <f t="shared" ca="1" si="77"/>
        <v>5.4419805067167193</v>
      </c>
      <c r="K997" s="16">
        <f t="shared" ca="1" si="78"/>
        <v>44.272992833870205</v>
      </c>
      <c r="L997" s="17">
        <f t="shared" si="79"/>
        <v>0.90476190476190477</v>
      </c>
      <c r="M997" s="16">
        <f t="shared" ca="1" si="81"/>
        <v>217.98678645441348</v>
      </c>
      <c r="N997" s="18">
        <f t="shared" ca="1" si="80"/>
        <v>0</v>
      </c>
    </row>
    <row r="998" spans="10:14" x14ac:dyDescent="0.25">
      <c r="J998" s="16">
        <f t="shared" ca="1" si="77"/>
        <v>14.233462143509426</v>
      </c>
      <c r="K998" s="16">
        <f t="shared" ca="1" si="78"/>
        <v>37.343209059000984</v>
      </c>
      <c r="L998" s="17">
        <f t="shared" si="79"/>
        <v>0.90476190476190477</v>
      </c>
      <c r="M998" s="16">
        <f t="shared" ca="1" si="81"/>
        <v>480.90189984335842</v>
      </c>
      <c r="N998" s="18">
        <f t="shared" ca="1" si="80"/>
        <v>1</v>
      </c>
    </row>
    <row r="999" spans="10:14" x14ac:dyDescent="0.25">
      <c r="J999" s="16">
        <f t="shared" ca="1" si="77"/>
        <v>8.7425470299519965</v>
      </c>
      <c r="K999" s="16">
        <f t="shared" ca="1" si="78"/>
        <v>31.525500283337593</v>
      </c>
      <c r="L999" s="17">
        <f t="shared" si="79"/>
        <v>0.90476190476190477</v>
      </c>
      <c r="M999" s="16">
        <f t="shared" ca="1" si="81"/>
        <v>249.36429564414448</v>
      </c>
      <c r="N999" s="18">
        <f t="shared" ca="1" si="80"/>
        <v>1</v>
      </c>
    </row>
    <row r="1000" spans="10:14" x14ac:dyDescent="0.25">
      <c r="J1000" s="16">
        <f t="shared" ca="1" si="77"/>
        <v>11.861078846301384</v>
      </c>
      <c r="K1000" s="16">
        <f t="shared" ca="1" si="78"/>
        <v>27.576431558152954</v>
      </c>
      <c r="L1000" s="17">
        <f t="shared" si="79"/>
        <v>0.90476190476190477</v>
      </c>
      <c r="M1000" s="16">
        <f t="shared" ca="1" si="81"/>
        <v>295.93515958127773</v>
      </c>
      <c r="N1000" s="18">
        <f t="shared" ca="1" si="80"/>
        <v>1</v>
      </c>
    </row>
    <row r="1001" spans="10:14" x14ac:dyDescent="0.25">
      <c r="J1001" s="16">
        <f t="shared" ca="1" si="77"/>
        <v>9.9054375245246398</v>
      </c>
      <c r="K1001" s="16">
        <f t="shared" ca="1" si="78"/>
        <v>42.800903795489106</v>
      </c>
      <c r="L1001" s="17">
        <f t="shared" si="79"/>
        <v>0.90476190476190477</v>
      </c>
      <c r="M1001" s="16">
        <f t="shared" ca="1" si="81"/>
        <v>383.58437582136816</v>
      </c>
      <c r="N1001" s="18">
        <f t="shared" ca="1" si="80"/>
        <v>1</v>
      </c>
    </row>
    <row r="1002" spans="10:14" x14ac:dyDescent="0.25">
      <c r="J1002" s="16">
        <f t="shared" ca="1" si="77"/>
        <v>12.280711585891908</v>
      </c>
      <c r="K1002" s="16">
        <f t="shared" ca="1" si="78"/>
        <v>40.915778277601021</v>
      </c>
      <c r="L1002" s="17">
        <f t="shared" si="79"/>
        <v>0.90476190476190477</v>
      </c>
      <c r="M1002" s="16">
        <f t="shared" ca="1" si="81"/>
        <v>454.62012259289844</v>
      </c>
      <c r="N1002" s="18">
        <f t="shared" ca="1" si="80"/>
        <v>1</v>
      </c>
    </row>
  </sheetData>
  <mergeCells count="4">
    <mergeCell ref="A1:B1"/>
    <mergeCell ref="C1:D1"/>
    <mergeCell ref="G1:H1"/>
    <mergeCell ref="J1:M1"/>
  </mergeCells>
  <conditionalFormatting sqref="W2:X2">
    <cfRule type="cellIs" dxfId="0" priority="1" operator="greaterThan">
      <formula>0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922EB-5925-4AB5-9527-CD31BF8693E0}">
  <sheetPr codeName="Sheet9"/>
  <dimension ref="A1"/>
  <sheetViews>
    <sheetView workbookViewId="0"/>
  </sheetViews>
  <sheetFormatPr defaultRowHeight="15.7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42556-22CC-40DB-B551-676919B3F13A}">
  <sheetPr codeName="Sheet10"/>
  <dimension ref="A1"/>
  <sheetViews>
    <sheetView workbookViewId="0">
      <selection activeCell="G29" sqref="G29"/>
    </sheetView>
  </sheetViews>
  <sheetFormatPr defaultRowHeight="15.7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7C0E5-E520-4F4F-A7FE-1C3521C8632B}">
  <sheetPr codeName="Sheet11"/>
  <dimension ref="A1"/>
  <sheetViews>
    <sheetView workbookViewId="0"/>
  </sheetViews>
  <sheetFormatPr defaultRowHeight="15.7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082858-82FF-4BFF-8AC6-64A829FDA81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21</vt:i4>
      </vt:variant>
    </vt:vector>
  </HeadingPairs>
  <TitlesOfParts>
    <vt:vector size="33" baseType="lpstr">
      <vt:lpstr>Portfolio</vt:lpstr>
      <vt:lpstr>BDFundPortfolio</vt:lpstr>
      <vt:lpstr>DashSummary</vt:lpstr>
      <vt:lpstr>Sheet1</vt:lpstr>
      <vt:lpstr>SampleTradeList</vt:lpstr>
      <vt:lpstr>VaR</vt:lpstr>
      <vt:lpstr>_xlwings.conf</vt:lpstr>
      <vt:lpstr>Sheet2</vt:lpstr>
      <vt:lpstr>COVEREDCALLS</vt:lpstr>
      <vt:lpstr>PUTS</vt:lpstr>
      <vt:lpstr>HEDGE</vt:lpstr>
      <vt:lpstr>CHINA</vt:lpstr>
      <vt:lpstr>BDFundsName</vt:lpstr>
      <vt:lpstr>BDFundTickers</vt:lpstr>
      <vt:lpstr>CallPrice</vt:lpstr>
      <vt:lpstr>D</vt:lpstr>
      <vt:lpstr>done</vt:lpstr>
      <vt:lpstr>dt</vt:lpstr>
      <vt:lpstr>dtwo</vt:lpstr>
      <vt:lpstr>I</vt:lpstr>
      <vt:lpstr>K</vt:lpstr>
      <vt:lpstr>ndone</vt:lpstr>
      <vt:lpstr>ndtwo</vt:lpstr>
      <vt:lpstr>nndone</vt:lpstr>
      <vt:lpstr>nndtwo</vt:lpstr>
      <vt:lpstr>nnone</vt:lpstr>
      <vt:lpstr>PutPrice</vt:lpstr>
      <vt:lpstr>S</vt:lpstr>
      <vt:lpstr>T</vt:lpstr>
      <vt:lpstr>TARGET_CURRENCY</vt:lpstr>
      <vt:lpstr>TICKER</vt:lpstr>
      <vt:lpstr>V</vt:lpstr>
      <vt:lpstr>X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Saleem</cp:lastModifiedBy>
  <dcterms:created xsi:type="dcterms:W3CDTF">2015-01-25T11:31:25Z</dcterms:created>
  <dcterms:modified xsi:type="dcterms:W3CDTF">2021-09-27T16:20:41Z</dcterms:modified>
  <cp:category/>
  <cp:contentStatus/>
</cp:coreProperties>
</file>